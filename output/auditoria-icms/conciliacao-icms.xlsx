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7198d2982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sao mensal" sheetId="1" r:id="Rbd8bda65b37a44cb"/>
    <x:sheet xmlns:r="http://schemas.openxmlformats.org/officeDocument/2006/relationships" name="Pendencias" sheetId="2" r:id="R81d36eabd59c4736"/>
    <x:sheet xmlns:r="http://schemas.openxmlformats.org/officeDocument/2006/relationships" name="Fonte SEF" sheetId="3" r:id="R7b61010abde4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-#,##0.00;0.00"/>
    <x:numFmt numFmtId="201" formatCode="mm/yyyy"/>
  </x:numFmts>
  <x:fonts count="8">
    <x:font>
      <x:sz val="11"/>
      <x:name val="Carlito"/>
    </x:font>
    <x:font>
      <x:sz val="10"/>
      <x:color rgb="FF202B36"/>
      <x:name val="Arial"/>
    </x:font>
    <x:font>
      <x:b/>
      <x:sz val="16"/>
      <x:color rgb="FF26384A"/>
      <x:name val="Arial"/>
    </x:font>
    <x:font>
      <x:i/>
      <x:sz val="10"/>
      <x:color rgb="FF596675"/>
      <x:name val="Arial"/>
    </x:font>
    <x:font>
      <x:b/>
      <x:sz val="10"/>
      <x:color rgb="FFFFFFFF"/>
      <x:name val="Arial"/>
    </x:font>
    <x:font>
      <x:sz val="10"/>
      <x:color rgb="FF24549C"/>
      <x:name val="Arial"/>
    </x:font>
    <x:font>
      <x:b/>
      <x:sz val="10"/>
      <x:color rgb="FF202B36"/>
      <x:name val="Arial"/>
    </x:font>
    <x:font>
      <x:sz val="10"/>
      <x:color rgb="FF59667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84A"/>
      </x:patternFill>
    </x:fill>
    <x:fill>
      <x:patternFill patternType="solid">
        <x:fgColor rgb="FFEBEFF3"/>
      </x:patternFill>
    </x:fill>
    <x:fill>
      <x:patternFill patternType="solid">
        <x:fgColor rgb="FFFFF2CC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26384A"/>
      </x:top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6" fillId="3" borderId="0" xfId="0" applyNumberFormat="1" applyFont="1" applyFill="1" applyBorder="1" applyAlignment="1">
      <x:alignment horizontal="right" vertical="center"/>
    </x:xf>
    <x:xf numFmtId="200" fontId="6" fillId="3" borderId="4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A61C16"/>
      </x:font>
      <x:fill>
        <x:patternFill patternType="solid">
          <x:bgColor rgb="FFFDE9E7"/>
        </x:patternFill>
      </x:fill>
    </x:dxf>
    <x:dxf>
      <x:font>
        <x:b/>
        <x:color rgb="FF9A5B00"/>
      </x:font>
    </x:dxf>
    <x:dxf>
      <x:font>
        <x:b/>
        <x:color rgb="FF275D9A"/>
      </x:font>
    </x:dxf>
    <x:dxf>
      <x:font>
        <x:b/>
        <x:color rgb="FFA61C16"/>
      </x:font>
      <x:fill>
        <x:patternFill patternType="solid">
          <x:bgColor rgb="FFFDE9E7"/>
        </x:patternFill>
      </x:fill>
    </x:dxf>
    <x:dxf>
      <x:font>
        <x:b/>
        <x:color rgb="FF9A5B00"/>
      </x:font>
    </x:dxf>
    <x:dxf>
      <x:font>
        <x:b/>
        <x:color rgb="FF275D9A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89d23c668843bf" /><Relationship Type="http://schemas.openxmlformats.org/officeDocument/2006/relationships/theme" Target="/xl/theme/theme1.xml" Id="R6935bd551e524536" /><Relationship Type="http://schemas.openxmlformats.org/officeDocument/2006/relationships/sharedStrings" Target="/xl/sharedStrings.xml" Id="R4f3cd30795f942e1" /><Relationship Type="http://schemas.openxmlformats.org/officeDocument/2006/relationships/worksheet" Target="/xl/worksheets/sheet1.xml" Id="Rbd8bda65b37a44cb" /><Relationship Type="http://schemas.openxmlformats.org/officeDocument/2006/relationships/worksheet" Target="/xl/worksheets/sheet2.xml" Id="R81d36eabd59c4736" /><Relationship Type="http://schemas.openxmlformats.org/officeDocument/2006/relationships/worksheet" Target="/xl/worksheets/sheet3.xml" Id="R7b61010abde449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384A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12.779999732971191" hidden="0" customWidth="1"/>
    <x:col min="2" max="2" width="17" hidden="0" customWidth="1"/>
    <x:col min="3" max="3" width="17" hidden="0" customWidth="1"/>
    <x:col min="4" max="4" width="17.219999313354492" hidden="0" customWidth="1"/>
    <x:col min="5" max="5" width="17" hidden="0" customWidth="1"/>
    <x:col min="6" max="6" width="15" hidden="0" customWidth="1"/>
    <x:col min="7" max="7" width="19.780000686645508" hidden="0" customWidth="1"/>
    <x:col min="8" max="8" width="24.440000534057617" hidden="0" customWidth="1"/>
    <x:col min="9" max="9" width="34.43999862670898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3" t="str">
        <x:v>PS COMPANY LTDA — revisão mensal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 t="str">
        <x:v>Diferença do anexo (R$)</x:v>
      </x:c>
      <x:c r="B4" s="2"/>
      <x:c r="C4" s="2"/>
      <x:c r="D4" s="28" t="n">
        <x:f>D26</x:f>
        <x:v>-16066303.739999998</x:v>
      </x:c>
      <x:c r="E4" s="2"/>
      <x:c r="F4" s="2"/>
      <x:c r="G4" s="2"/>
      <x:c r="H4" s="2"/>
      <x:c r="I4" s="2"/>
    </x:row>
    <x:row r="5" ht="24" customHeight="1">
      <x:c r="A5" s="29" t="str">
        <x:v>Base preliminar interna. Não apura ICMS e não está pronta para protocolo.</x:v>
      </x:c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9" t="str">
        <x:v>Outubro/2025 e abril/2026 não constam no anexo. Ausência não significa valor zero.</x:v>
      </x:c>
      <x:c r="B6" s="2"/>
      <x:c r="C6" s="2"/>
      <x:c r="D6" s="2"/>
      <x:c r="E6" s="2"/>
      <x:c r="F6" s="2"/>
      <x:c r="G6" s="2"/>
      <x:c r="H6" s="2"/>
      <x:c r="I6" s="2"/>
    </x:row>
    <x:row r="7" ht="24" customHeight="1">
      <x:c r="A7" s="29" t="str">
        <x:v>Campos amarelos: preencha status, documentos e fundamento de cada competência. Conclusões exigem revisão.</x:v>
      </x:c>
      <x:c r="B7" s="2"/>
      <x:c r="C7" s="2"/>
      <x:c r="D7" s="2"/>
      <x:c r="E7" s="2"/>
      <x:c r="F7" s="2"/>
      <x:c r="G7" s="2"/>
      <x:c r="H7" s="2"/>
      <x:c r="I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</x:row>
    <x:row r="9" ht="43" customHeight="1">
      <x:c r="A9" s="13" t="str">
        <x:v>Competência</x:v>
      </x:c>
      <x:c r="B9" s="14" t="str">
        <x:v>VENDAS_CARTAO
(R$)</x:v>
      </x:c>
      <x:c r="C9" s="14" t="str">
        <x:v>FATURAMENTO
(R$)</x:v>
      </x:c>
      <x:c r="D9" s="14" t="str">
        <x:v>Diferença calculada
C − B (R$)</x:v>
      </x:c>
      <x:c r="E9" s="14" t="str">
        <x:v>DIFERENCA
original (R$)</x:v>
      </x:c>
      <x:c r="F9" s="14" t="str">
        <x:v>Desvio aritmético
D − E (R$)</x:v>
      </x:c>
      <x:c r="G9" s="14" t="str">
        <x:v>Status da revisão</x:v>
      </x:c>
      <x:c r="H9" s="14" t="str">
        <x:v>Documentos / referência</x:v>
      </x:c>
      <x:c r="I9" s="15" t="str">
        <x:v>Justificativa / fundamento verificado</x:v>
      </x:c>
    </x:row>
    <x:row r="10" ht="24" customHeight="1">
      <x:c r="A10" s="31" t="d">
        <x:v>2025-01-01T12:00:00.000Z</x:v>
      </x:c>
      <x:c r="B10" s="20" t="n">
        <x:f>'Fonte SEF'!C6</x:f>
        <x:v>990856.85</x:v>
      </x:c>
      <x:c r="C10" s="20" t="n">
        <x:f>'Fonte SEF'!H6</x:f>
        <x:v>535309</x:v>
      </x:c>
      <x:c r="D10" s="20" t="n">
        <x:f>ROUND(C10-B10,2)</x:f>
        <x:v>-455547.85</x:v>
      </x:c>
      <x:c r="E10" s="20" t="n">
        <x:f>'Fonte SEF'!I6</x:f>
        <x:v>-455547.85</x:v>
      </x:c>
      <x:c r="F10" s="20" t="n">
        <x:f>ROUND(D10-E10,2)</x:f>
        <x:v>0</x:v>
      </x:c>
      <x:c r="G10" s="32" t="str">
        <x:v>Pendente</x:v>
      </x:c>
      <x:c r="H10" s="32"/>
      <x:c r="I10" s="32"/>
    </x:row>
    <x:row r="11" ht="24" customHeight="1">
      <x:c r="A11" s="31" t="d">
        <x:v>2025-02-01T12:00:00.000Z</x:v>
      </x:c>
      <x:c r="B11" s="20" t="n">
        <x:f>'Fonte SEF'!C7</x:f>
        <x:v>1498424.57</x:v>
      </x:c>
      <x:c r="C11" s="20" t="n">
        <x:f>'Fonte SEF'!H7</x:f>
        <x:v>817387.04</x:v>
      </x:c>
      <x:c r="D11" s="20" t="n">
        <x:f>ROUND(C11-B11,2)</x:f>
        <x:v>-681037.53</x:v>
      </x:c>
      <x:c r="E11" s="20" t="n">
        <x:f>'Fonte SEF'!I7</x:f>
        <x:v>-681037.53</x:v>
      </x:c>
      <x:c r="F11" s="20" t="n">
        <x:f>ROUND(D11-E11,2)</x:f>
        <x:v>0</x:v>
      </x:c>
      <x:c r="G11" s="32" t="str">
        <x:v>Pendente</x:v>
      </x:c>
      <x:c r="H11" s="32"/>
      <x:c r="I11" s="32"/>
    </x:row>
    <x:row r="12" ht="24" customHeight="1">
      <x:c r="A12" s="31" t="d">
        <x:v>2025-03-01T12:00:00.000Z</x:v>
      </x:c>
      <x:c r="B12" s="20" t="n">
        <x:f>'Fonte SEF'!C8</x:f>
        <x:v>2023392.63</x:v>
      </x:c>
      <x:c r="C12" s="20" t="n">
        <x:f>'Fonte SEF'!H8</x:f>
        <x:v>630060.01</x:v>
      </x:c>
      <x:c r="D12" s="20" t="n">
        <x:f>ROUND(C12-B12,2)</x:f>
        <x:v>-1393332.62</x:v>
      </x:c>
      <x:c r="E12" s="20" t="n">
        <x:f>'Fonte SEF'!I8</x:f>
        <x:v>-1393332.62</x:v>
      </x:c>
      <x:c r="F12" s="20" t="n">
        <x:f>ROUND(D12-E12,2)</x:f>
        <x:v>0</x:v>
      </x:c>
      <x:c r="G12" s="32" t="str">
        <x:v>Pendente</x:v>
      </x:c>
      <x:c r="H12" s="32"/>
      <x:c r="I12" s="32"/>
    </x:row>
    <x:row r="13" ht="24" customHeight="1">
      <x:c r="A13" s="31" t="d">
        <x:v>2025-04-01T12:00:00.000Z</x:v>
      </x:c>
      <x:c r="B13" s="20" t="n">
        <x:f>'Fonte SEF'!C9</x:f>
        <x:v>2305315.32</x:v>
      </x:c>
      <x:c r="C13" s="20" t="n">
        <x:f>'Fonte SEF'!H9</x:f>
        <x:v>1122746.01</x:v>
      </x:c>
      <x:c r="D13" s="20" t="n">
        <x:f>ROUND(C13-B13,2)</x:f>
        <x:v>-1182569.31</x:v>
      </x:c>
      <x:c r="E13" s="20" t="n">
        <x:f>'Fonte SEF'!I9</x:f>
        <x:v>-1182569.31</x:v>
      </x:c>
      <x:c r="F13" s="20" t="n">
        <x:f>ROUND(D13-E13,2)</x:f>
        <x:v>0</x:v>
      </x:c>
      <x:c r="G13" s="32" t="str">
        <x:v>Pendente</x:v>
      </x:c>
      <x:c r="H13" s="32"/>
      <x:c r="I13" s="32"/>
    </x:row>
    <x:row r="14" ht="24" customHeight="1">
      <x:c r="A14" s="31" t="d">
        <x:v>2025-05-01T12:00:00.000Z</x:v>
      </x:c>
      <x:c r="B14" s="20" t="n">
        <x:f>'Fonte SEF'!C10</x:f>
        <x:v>2001897.62</x:v>
      </x:c>
      <x:c r="C14" s="20" t="n">
        <x:f>'Fonte SEF'!H10</x:f>
        <x:v>1909707</x:v>
      </x:c>
      <x:c r="D14" s="20" t="n">
        <x:f>ROUND(C14-B14,2)</x:f>
        <x:v>-92190.62</x:v>
      </x:c>
      <x:c r="E14" s="20" t="n">
        <x:f>'Fonte SEF'!I10</x:f>
        <x:v>-92190.62</x:v>
      </x:c>
      <x:c r="F14" s="20" t="n">
        <x:f>ROUND(D14-E14,2)</x:f>
        <x:v>0</x:v>
      </x:c>
      <x:c r="G14" s="32" t="str">
        <x:v>Pendente</x:v>
      </x:c>
      <x:c r="H14" s="32"/>
      <x:c r="I14" s="32"/>
    </x:row>
    <x:row r="15" ht="24" customHeight="1">
      <x:c r="A15" s="31" t="d">
        <x:v>2025-06-01T12:00:00.000Z</x:v>
      </x:c>
      <x:c r="B15" s="20" t="n">
        <x:f>'Fonte SEF'!C11</x:f>
        <x:v>3208837.69</x:v>
      </x:c>
      <x:c r="C15" s="20" t="n">
        <x:f>'Fonte SEF'!H11</x:f>
        <x:v>983986.08</x:v>
      </x:c>
      <x:c r="D15" s="20" t="n">
        <x:f>ROUND(C15-B15,2)</x:f>
        <x:v>-2224851.61</x:v>
      </x:c>
      <x:c r="E15" s="20" t="n">
        <x:f>'Fonte SEF'!I11</x:f>
        <x:v>-2224851.61</x:v>
      </x:c>
      <x:c r="F15" s="20" t="n">
        <x:f>ROUND(D15-E15,2)</x:f>
        <x:v>0</x:v>
      </x:c>
      <x:c r="G15" s="32" t="str">
        <x:v>Pendente</x:v>
      </x:c>
      <x:c r="H15" s="32"/>
      <x:c r="I15" s="32"/>
    </x:row>
    <x:row r="16" ht="24" customHeight="1">
      <x:c r="A16" s="31" t="d">
        <x:v>2025-07-01T12:00:00.000Z</x:v>
      </x:c>
      <x:c r="B16" s="20" t="n">
        <x:f>'Fonte SEF'!C12</x:f>
        <x:v>3000215.71</x:v>
      </x:c>
      <x:c r="C16" s="20" t="n">
        <x:f>'Fonte SEF'!H12</x:f>
        <x:v>1513579.53</x:v>
      </x:c>
      <x:c r="D16" s="20" t="n">
        <x:f>ROUND(C16-B16,2)</x:f>
        <x:v>-1486636.18</x:v>
      </x:c>
      <x:c r="E16" s="20" t="n">
        <x:f>'Fonte SEF'!I12</x:f>
        <x:v>-1486636.18</x:v>
      </x:c>
      <x:c r="F16" s="20" t="n">
        <x:f>ROUND(D16-E16,2)</x:f>
        <x:v>0</x:v>
      </x:c>
      <x:c r="G16" s="32" t="str">
        <x:v>Pendente</x:v>
      </x:c>
      <x:c r="H16" s="32"/>
      <x:c r="I16" s="32"/>
    </x:row>
    <x:row r="17" ht="24" customHeight="1">
      <x:c r="A17" s="31" t="d">
        <x:v>2025-08-01T12:00:00.000Z</x:v>
      </x:c>
      <x:c r="B17" s="20" t="n">
        <x:f>'Fonte SEF'!C13</x:f>
        <x:v>2591099.36</x:v>
      </x:c>
      <x:c r="C17" s="20" t="n">
        <x:f>'Fonte SEF'!H13</x:f>
        <x:v>1424728.04</x:v>
      </x:c>
      <x:c r="D17" s="20" t="n">
        <x:f>ROUND(C17-B17,2)</x:f>
        <x:v>-1166371.32</x:v>
      </x:c>
      <x:c r="E17" s="20" t="n">
        <x:f>'Fonte SEF'!I13</x:f>
        <x:v>-1166371.32</x:v>
      </x:c>
      <x:c r="F17" s="20" t="n">
        <x:f>ROUND(D17-E17,2)</x:f>
        <x:v>0</x:v>
      </x:c>
      <x:c r="G17" s="32" t="str">
        <x:v>Pendente</x:v>
      </x:c>
      <x:c r="H17" s="32"/>
      <x:c r="I17" s="32"/>
    </x:row>
    <x:row r="18" ht="24" customHeight="1">
      <x:c r="A18" s="31" t="d">
        <x:v>2025-09-01T12:00:00.000Z</x:v>
      </x:c>
      <x:c r="B18" s="20" t="n">
        <x:f>'Fonte SEF'!C14</x:f>
        <x:v>2857110.88</x:v>
      </x:c>
      <x:c r="C18" s="20" t="n">
        <x:f>'Fonte SEF'!H14</x:f>
        <x:v>1229265.02</x:v>
      </x:c>
      <x:c r="D18" s="20" t="n">
        <x:f>ROUND(C18-B18,2)</x:f>
        <x:v>-1627845.86</x:v>
      </x:c>
      <x:c r="E18" s="20" t="n">
        <x:f>'Fonte SEF'!I14</x:f>
        <x:v>-1627845.86</x:v>
      </x:c>
      <x:c r="F18" s="20" t="n">
        <x:f>ROUND(D18-E18,2)</x:f>
        <x:v>0</x:v>
      </x:c>
      <x:c r="G18" s="32" t="str">
        <x:v>Pendente</x:v>
      </x:c>
      <x:c r="H18" s="32"/>
      <x:c r="I18" s="32"/>
    </x:row>
    <x:row r="19" ht="24" customHeight="1">
      <x:c r="A19" s="31" t="d">
        <x:v>2025-11-01T12:00:00.000Z</x:v>
      </x:c>
      <x:c r="B19" s="20" t="n">
        <x:f>'Fonte SEF'!C15</x:f>
        <x:v>1618280.06</x:v>
      </x:c>
      <x:c r="C19" s="20" t="n">
        <x:f>'Fonte SEF'!H15</x:f>
        <x:v>1492592.64</x:v>
      </x:c>
      <x:c r="D19" s="20" t="n">
        <x:f>ROUND(C19-B19,2)</x:f>
        <x:v>-125687.42</x:v>
      </x:c>
      <x:c r="E19" s="20" t="n">
        <x:f>'Fonte SEF'!I15</x:f>
        <x:v>-125687.42</x:v>
      </x:c>
      <x:c r="F19" s="20" t="n">
        <x:f>ROUND(D19-E19,2)</x:f>
        <x:v>0</x:v>
      </x:c>
      <x:c r="G19" s="32" t="str">
        <x:v>Pendente</x:v>
      </x:c>
      <x:c r="H19" s="32"/>
      <x:c r="I19" s="32"/>
    </x:row>
    <x:row r="20" ht="24" customHeight="1">
      <x:c r="A20" s="31" t="d">
        <x:v>2025-12-01T12:00:00.000Z</x:v>
      </x:c>
      <x:c r="B20" s="20" t="n">
        <x:f>'Fonte SEF'!C16</x:f>
        <x:v>2481210.99</x:v>
      </x:c>
      <x:c r="C20" s="20" t="n">
        <x:f>'Fonte SEF'!H16</x:f>
        <x:v>1297706.8</x:v>
      </x:c>
      <x:c r="D20" s="20" t="n">
        <x:f>ROUND(C20-B20,2)</x:f>
        <x:v>-1183504.19</x:v>
      </x:c>
      <x:c r="E20" s="20" t="n">
        <x:f>'Fonte SEF'!I16</x:f>
        <x:v>-1183504.19</x:v>
      </x:c>
      <x:c r="F20" s="20" t="n">
        <x:f>ROUND(D20-E20,2)</x:f>
        <x:v>0</x:v>
      </x:c>
      <x:c r="G20" s="32" t="str">
        <x:v>Pendente</x:v>
      </x:c>
      <x:c r="H20" s="32"/>
      <x:c r="I20" s="32"/>
    </x:row>
    <x:row r="21" ht="24" customHeight="1">
      <x:c r="A21" s="31" t="d">
        <x:v>2026-01-01T12:00:00.000Z</x:v>
      </x:c>
      <x:c r="B21" s="20" t="n">
        <x:f>'Fonte SEF'!C17</x:f>
        <x:v>3020204.48</x:v>
      </x:c>
      <x:c r="C21" s="20" t="n">
        <x:f>'Fonte SEF'!H17</x:f>
        <x:v>909741.92</x:v>
      </x:c>
      <x:c r="D21" s="20" t="n">
        <x:f>ROUND(C21-B21,2)</x:f>
        <x:v>-2110462.56</x:v>
      </x:c>
      <x:c r="E21" s="20" t="n">
        <x:f>'Fonte SEF'!I17</x:f>
        <x:v>-2110462.56</x:v>
      </x:c>
      <x:c r="F21" s="20" t="n">
        <x:f>ROUND(D21-E21,2)</x:f>
        <x:v>0</x:v>
      </x:c>
      <x:c r="G21" s="32" t="str">
        <x:v>Pendente</x:v>
      </x:c>
      <x:c r="H21" s="32"/>
      <x:c r="I21" s="32"/>
    </x:row>
    <x:row r="22" ht="24" customHeight="1">
      <x:c r="A22" s="31" t="d">
        <x:v>2026-02-01T12:00:00.000Z</x:v>
      </x:c>
      <x:c r="B22" s="20" t="n">
        <x:f>'Fonte SEF'!C18</x:f>
        <x:v>2235463.99</x:v>
      </x:c>
      <x:c r="C22" s="20" t="n">
        <x:f>'Fonte SEF'!H18</x:f>
        <x:v>583718.92</x:v>
      </x:c>
      <x:c r="D22" s="20" t="n">
        <x:f>ROUND(C22-B22,2)</x:f>
        <x:v>-1651745.07</x:v>
      </x:c>
      <x:c r="E22" s="20" t="n">
        <x:f>'Fonte SEF'!I18</x:f>
        <x:v>-1651745.07</x:v>
      </x:c>
      <x:c r="F22" s="20" t="n">
        <x:f>ROUND(D22-E22,2)</x:f>
        <x:v>0</x:v>
      </x:c>
      <x:c r="G22" s="32" t="str">
        <x:v>Pendente</x:v>
      </x:c>
      <x:c r="H22" s="32"/>
      <x:c r="I22" s="32"/>
    </x:row>
    <x:row r="23" ht="24" customHeight="1">
      <x:c r="A23" s="31" t="d">
        <x:v>2026-03-01T12:00:00.000Z</x:v>
      </x:c>
      <x:c r="B23" s="20" t="n">
        <x:f>'Fonte SEF'!C19</x:f>
        <x:v>1111751.36</x:v>
      </x:c>
      <x:c r="C23" s="20" t="n">
        <x:f>'Fonte SEF'!H19</x:f>
        <x:v>477215.96</x:v>
      </x:c>
      <x:c r="D23" s="20" t="n">
        <x:f>ROUND(C23-B23,2)</x:f>
        <x:v>-634535.4</x:v>
      </x:c>
      <x:c r="E23" s="20" t="n">
        <x:f>'Fonte SEF'!I19</x:f>
        <x:v>-634535.4</x:v>
      </x:c>
      <x:c r="F23" s="20" t="n">
        <x:f>ROUND(D23-E23,2)</x:f>
        <x:v>0</x:v>
      </x:c>
      <x:c r="G23" s="32" t="str">
        <x:v>Pendente</x:v>
      </x:c>
      <x:c r="H23" s="32"/>
      <x:c r="I23" s="32"/>
    </x:row>
    <x:row r="24" ht="24" customHeight="1">
      <x:c r="A24" s="31" t="d">
        <x:v>2026-05-01T12:00:00.000Z</x:v>
      </x:c>
      <x:c r="B24" s="20" t="n">
        <x:f>'Fonte SEF'!C20</x:f>
        <x:v>260838.16</x:v>
      </x:c>
      <x:c r="C24" s="20" t="n">
        <x:f>'Fonte SEF'!H20</x:f>
        <x:v>210851.96</x:v>
      </x:c>
      <x:c r="D24" s="20" t="n">
        <x:f>ROUND(C24-B24,2)</x:f>
        <x:v>-49986.2</x:v>
      </x:c>
      <x:c r="E24" s="20" t="n">
        <x:f>'Fonte SEF'!I20</x:f>
        <x:v>-49986.2</x:v>
      </x:c>
      <x:c r="F24" s="20" t="n">
        <x:f>ROUND(D24-E24,2)</x:f>
        <x:v>0</x:v>
      </x:c>
      <x:c r="G24" s="32" t="str">
        <x:v>Pendente</x:v>
      </x:c>
      <x:c r="H24" s="32"/>
      <x:c r="I24" s="32"/>
    </x:row>
    <x:row r="25" ht="24" customHeight="1">
      <x:c r="A25" s="2"/>
      <x:c r="B25" s="20"/>
      <x:c r="C25" s="20"/>
      <x:c r="D25" s="20"/>
      <x:c r="E25" s="20"/>
      <x:c r="F25" s="20"/>
      <x:c r="G25" s="2"/>
      <x:c r="H25" s="2"/>
      <x:c r="I25" s="2"/>
    </x:row>
    <x:row r="26" ht="24" customHeight="1">
      <x:c r="A26" s="27" t="str">
        <x:v>TOTAL</x:v>
      </x:c>
      <x:c r="B26" s="24" t="n">
        <x:f>SUM(B10:B24)</x:f>
        <x:v>31204899.66999999</x:v>
      </x:c>
      <x:c r="C26" s="24" t="n">
        <x:f>SUM(C10:C24)</x:f>
        <x:v>15138595.930000003</x:v>
      </x:c>
      <x:c r="D26" s="24" t="n">
        <x:f>SUM(D10:D24)</x:f>
        <x:v>-16066303.739999998</x:v>
      </x:c>
      <x:c r="E26" s="24" t="n">
        <x:f>SUM(E10:E24)</x:f>
        <x:v>-16066303.739999998</x:v>
      </x:c>
      <x:c r="F26" s="20"/>
      <x:c r="G26" s="2"/>
      <x:c r="H26" s="2"/>
      <x:c r="I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4" customHeight="1">
      <x:c r="A28" s="4" t="str">
        <x:v>O desvio aritmético confere a transcrição. O valor negativo preserva o sinal do anexo e não representa ICMS calculado.</x:v>
      </x:c>
      <x:c r="B28" s="2"/>
      <x:c r="C28" s="2"/>
      <x:c r="D28" s="2"/>
      <x:c r="E28" s="2"/>
      <x:c r="F28" s="2"/>
      <x:c r="G28" s="2"/>
      <x:c r="H28" s="2"/>
      <x:c r="I28" s="2"/>
    </x:row>
    <x:row r="29" ht="24" customHeight="1">
      <x:c r="A29" s="4" t="str">
        <x:v>Nenhuma justificativa deduz valores automaticamente. Vincule venda, nota, declaração e pagamento antes de concluir.</x:v>
      </x:c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</x:sheetData>
  <x:conditionalFormatting sqref="G10:G24">
    <x:cfRule type="containsText" dxfId="1" priority="1" operator="containsText" text="Pendente"/>
    <x:cfRule type="containsText" dxfId="2" priority="2" operator="containsText" text="Em revisão"/>
  </x:conditionalFormatting>
  <x:conditionalFormatting sqref="F10:F24">
    <x:cfRule type="cellIs" dxfId="3" priority="3" operator="notEqual">
      <x:formula>0</x:formula>
    </x:cfRule>
  </x:conditionalFormatting>
  <x:dataValidations count="1">
    <x:dataValidation type="list" sqref="G10:G24">
      <x:formula1>"Pendente,Em revisão,Documentada para revisão"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.110000133514404" hidden="0" customWidth="1"/>
    <x:col min="2" max="2" width="31.670000076293945" hidden="0" customWidth="1"/>
    <x:col min="3" max="3" width="49.439998626708984" hidden="0" customWidth="1"/>
    <x:col min="4" max="4" width="18.329999923706055" hidden="0" customWidth="1"/>
    <x:col min="5" max="5" width="14.4399995803833" hidden="0" customWidth="1"/>
    <x:col min="6" max="6" width="38.88999938964844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2" customHeight="1">
      <x:c r="A2" s="3" t="str">
        <x:v>Documentos e verificações pendentes</x:v>
      </x:c>
      <x:c r="B2" s="2"/>
      <x:c r="C2" s="2"/>
      <x:c r="D2" s="2"/>
      <x:c r="E2" s="2"/>
      <x:c r="F2" s="2"/>
    </x:row>
    <x:row r="3" ht="24" customHeight="1">
      <x:c r="A3" s="2"/>
      <x:c r="B3" s="2"/>
      <x:c r="C3" s="2"/>
      <x:c r="D3" s="2"/>
      <x:c r="E3" s="2"/>
      <x:c r="F3" s="2"/>
    </x:row>
    <x:row r="4" ht="24" customHeight="1">
      <x:c r="A4" s="29" t="str">
        <x:v>Registre responsável, status e evidência. O prazo depende do comprovante de ciência e dos atos posteriores.</x:v>
      </x:c>
      <x:c r="B4" s="2"/>
      <x:c r="C4" s="2"/>
      <x:c r="D4" s="2"/>
      <x:c r="E4" s="2"/>
      <x:c r="F4" s="2"/>
    </x:row>
    <x:row r="5" ht="24" customHeight="1">
      <x:c r="A5" s="2"/>
      <x:c r="B5" s="2"/>
      <x:c r="C5" s="2"/>
      <x:c r="D5" s="2"/>
      <x:c r="E5" s="2"/>
      <x:c r="F5" s="2"/>
    </x:row>
    <x:row r="6" ht="43" customHeight="1">
      <x:c r="A6" s="13" t="str">
        <x:v>ID</x:v>
      </x:c>
      <x:c r="B6" s="14" t="str">
        <x:v>Documento / verificação</x:v>
      </x:c>
      <x:c r="C6" s="14" t="str">
        <x:v>O que precisa comprovar</x:v>
      </x:c>
      <x:c r="D6" s="14" t="str">
        <x:v>Responsável</x:v>
      </x:c>
      <x:c r="E6" s="14" t="str">
        <x:v>Status</x:v>
      </x:c>
      <x:c r="F6" s="15" t="str">
        <x:v>Evidência / observação</x:v>
      </x:c>
    </x:row>
    <x:row r="7" ht="43" customHeight="1">
      <x:c r="A7" s="2" t="str">
        <x:v>P01</x:v>
      </x:c>
      <x:c r="B7" s="33" t="str">
        <x:v>Comprovante de ciência da intimação</x:v>
      </x:c>
      <x:c r="C7" s="33" t="str">
        <x:v>Data, meio de recebimento e destinatário.</x:v>
      </x:c>
      <x:c r="D7" s="32"/>
      <x:c r="E7" s="32" t="str">
        <x:v>Pendente</x:v>
      </x:c>
      <x:c r="F7" s="32"/>
    </x:row>
    <x:row r="8" ht="43" customHeight="1">
      <x:c r="A8" s="2" t="str">
        <x:v>P02</x:v>
      </x:c>
      <x:c r="B8" s="33" t="str">
        <x:v>Atos e comunicações posteriores</x:v>
      </x:c>
      <x:c r="C8" s="33" t="str">
        <x:v>Respostas, prorrogações, início de ação fiscal ou autuação.</x:v>
      </x:c>
      <x:c r="D8" s="32"/>
      <x:c r="E8" s="32" t="str">
        <x:v>Pendente</x:v>
      </x:c>
      <x:c r="F8" s="32"/>
    </x:row>
    <x:row r="9" ht="43" customHeight="1">
      <x:c r="A9" s="2" t="str">
        <x:v>P03</x:v>
      </x:c>
      <x:c r="B9" s="33" t="str">
        <x:v>Detalhamento dos valores da SEF/MG</x:v>
      </x:c>
      <x:c r="C9" s="33" t="str">
        <x:v>Dados por instituição e operação; DIMP, se utilizada.</x:v>
      </x:c>
      <x:c r="D9" s="32"/>
      <x:c r="E9" s="32" t="str">
        <x:v>Pendente</x:v>
      </x:c>
      <x:c r="F9" s="32"/>
    </x:row>
    <x:row r="10" ht="43" customHeight="1">
      <x:c r="A10" s="2" t="str">
        <x:v>P04</x:v>
      </x:c>
      <x:c r="B10" s="33" t="str">
        <x:v>Exportação completa da Braip</x:v>
      </x:c>
      <x:c r="C10" s="33" t="str">
        <x:v>Vendas, produtos, produtor/afiliado, cancelamentos e reembolsos.</x:v>
      </x:c>
      <x:c r="D10" s="32"/>
      <x:c r="E10" s="32" t="str">
        <x:v>Pendente</x:v>
      </x:c>
      <x:c r="F10" s="32"/>
    </x:row>
    <x:row r="11" ht="43" customHeight="1">
      <x:c r="A11" s="2" t="str">
        <x:v>P05</x:v>
      </x:c>
      <x:c r="B11" s="33" t="str">
        <x:v>XMLs, protocolos e eventos de NF-e</x:v>
      </x:c>
      <x:c r="C11" s="33" t="str">
        <x:v>Notas autorizadas, canceladas e rejeitadas vinculadas às vendas.</x:v>
      </x:c>
      <x:c r="D11" s="32"/>
      <x:c r="E11" s="32" t="str">
        <x:v>Pendente</x:v>
      </x:c>
      <x:c r="F11" s="32"/>
    </x:row>
    <x:row r="12" ht="43" customHeight="1">
      <x:c r="A12" s="2" t="str">
        <x:v>P06</x:v>
      </x:c>
      <x:c r="B12" s="33" t="str">
        <x:v>Declarações e apuração estaduais</x:v>
      </x:c>
      <x:c r="C12" s="33" t="str">
        <x:v>EFD, DAPI/DAPI Virtual quando aplicáveis e recolhimentos dos períodos.</x:v>
      </x:c>
      <x:c r="D12" s="32"/>
      <x:c r="E12" s="32" t="str">
        <x:v>Pendente</x:v>
      </x:c>
      <x:c r="F12" s="32"/>
    </x:row>
    <x:row r="13" ht="43" customHeight="1">
      <x:c r="A13" s="2" t="str">
        <x:v>P07</x:v>
      </x:c>
      <x:c r="B13" s="33" t="str">
        <x:v>Conciliação das 15 competências</x:v>
      </x:c>
      <x:c r="C13" s="33" t="str">
        <x:v>Documento de suporte para cada diferença apontada.</x:v>
      </x:c>
      <x:c r="D13" s="32"/>
      <x:c r="E13" s="32" t="str">
        <x:v>Pendente</x:v>
      </x:c>
      <x:c r="F13" s="32"/>
    </x:row>
    <x:row r="14" ht="43" customHeight="1">
      <x:c r="A14" s="2" t="str">
        <x:v>P08</x:v>
      </x:c>
      <x:c r="B14" s="33" t="str">
        <x:v>Outubro/2025 e abril/2026</x:v>
      </x:c>
      <x:c r="C14" s="33" t="str">
        <x:v>Motivo da ausência no anexo e cobertura da investigação.</x:v>
      </x:c>
      <x:c r="D14" s="32"/>
      <x:c r="E14" s="32" t="str">
        <x:v>Pendente</x:v>
      </x:c>
      <x:c r="F14" s="32"/>
    </x:row>
    <x:row r="15" ht="43" customHeight="1">
      <x:c r="A15" s="2" t="str">
        <x:v>P09</x:v>
      </x:c>
      <x:c r="B15" s="33" t="str">
        <x:v>Notas emitidas em atraso</x:v>
      </x:c>
      <x:c r="C15" s="33" t="str">
        <x:v>Causa comprovada, datas e saldo pendente por competência.</x:v>
      </x:c>
      <x:c r="D15" s="32"/>
      <x:c r="E15" s="32" t="str">
        <x:v>Pendente</x:v>
      </x:c>
      <x:c r="F15" s="32"/>
    </x:row>
    <x:row r="16" ht="43" customHeight="1">
      <x:c r="A16" s="2" t="str">
        <x:v>P10</x:v>
      </x:c>
      <x:c r="B16" s="33" t="str">
        <x:v>Dezenove PIX do Nubank</x:v>
      </x:c>
      <x:c r="C16" s="33" t="str">
        <x:v>Data, valor, pagador, causa econômica e comprovante de cada PIX.</x:v>
      </x:c>
      <x:c r="D16" s="32"/>
      <x:c r="E16" s="32" t="str">
        <x:v>Pendente</x:v>
      </x:c>
      <x:c r="F16" s="32"/>
    </x:row>
    <x:row r="17" ht="43" customHeight="1">
      <x:c r="A17" s="2" t="str">
        <x:v>P11</x:v>
      </x:c>
      <x:c r="B17" s="33" t="str">
        <x:v>Mentoria e produtos digitais</x:v>
      </x:c>
      <x:c r="C17" s="33" t="str">
        <x:v>Contratos, descrição do serviço, participação nas vendas e NFS-e.</x:v>
      </x:c>
      <x:c r="D17" s="32"/>
      <x:c r="E17" s="32" t="str">
        <x:v>Pendente</x:v>
      </x:c>
      <x:c r="F17" s="32"/>
    </x:row>
    <x:row r="18" ht="43" customHeight="1">
      <x:c r="A18" s="2" t="str">
        <x:v>P12</x:v>
      </x:c>
      <x:c r="B18" s="33" t="str">
        <x:v>Regime tributário nos períodos</x:v>
      </x:c>
      <x:c r="C18" s="33" t="str">
        <x:v>Lucro Presumido informado. Confirmar a vigência documental.</x:v>
      </x:c>
      <x:c r="D18" s="32"/>
      <x:c r="E18" s="32" t="str">
        <x:v>Pendente</x:v>
      </x:c>
      <x:c r="F18" s="32"/>
    </x:row>
    <x:row r="19" ht="43" customHeight="1">
      <x:c r="A19" s="2" t="str">
        <x:v>P13</x:v>
      </x:c>
      <x:c r="B19" s="33" t="str">
        <x:v>Revisão tributária antes de formalizar</x:v>
      </x:c>
      <x:c r="C19" s="33" t="str">
        <x:v>Enquadramento, espontaneidade, obrigações e cálculos documentados.</x:v>
      </x:c>
      <x:c r="D19" s="32"/>
      <x:c r="E19" s="32" t="str">
        <x:v>Pendente</x:v>
      </x:c>
      <x:c r="F19" s="32"/>
    </x:row>
    <x:row r="20" ht="43" customHeight="1">
      <x:c r="A20" s="2" t="str">
        <x:v>P14</x:v>
      </x:c>
      <x:c r="B20" s="33" t="str">
        <x:v>Resposta final e protocolo</x:v>
      </x:c>
      <x:c r="C20" s="33" t="str">
        <x:v>Revisão pelo contador e jurídico, anexos e comprovante de entrega.</x:v>
      </x:c>
      <x:c r="D20" s="32"/>
      <x:c r="E20" s="32" t="str">
        <x:v>Pendente</x:v>
      </x:c>
      <x:c r="F20" s="32"/>
    </x:row>
    <x:row r="21" ht="24" customHeight="1">
      <x:c r="A21" s="2"/>
      <x:c r="B21" s="2"/>
      <x:c r="C21" s="2"/>
      <x:c r="D21" s="2"/>
      <x:c r="E21" s="2"/>
      <x:c r="F21" s="2"/>
    </x:row>
    <x:row r="22" ht="24" customHeight="1">
      <x:c r="A22" s="4" t="str">
        <x:v>O status é manual e não representa conclusão automática sobre dívida, prazo, benefício ou regularização.</x:v>
      </x:c>
      <x:c r="B22" s="2"/>
      <x:c r="C22" s="2"/>
      <x:c r="D22" s="2"/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</x:sheetData>
  <x:conditionalFormatting sqref="E7:E20">
    <x:cfRule type="containsText" dxfId="4" priority="1" operator="containsText" text="Pendente"/>
    <x:cfRule type="containsText" dxfId="5" priority="2" operator="containsText" text="Em revisão"/>
  </x:conditionalFormatting>
  <x:dataValidations count="1">
    <x:dataValidation type="list" sqref="E7:E20">
      <x:formula1>"Pendente,Em revisão,Obtido,Revisado"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670000076293945" hidden="0" customWidth="1"/>
    <x:col min="2" max="2" width="12.220000267028809" hidden="0" customWidth="1"/>
    <x:col min="3" max="3" width="17" hidden="0" customWidth="1"/>
    <x:col min="4" max="4" width="17" hidden="0" customWidth="1"/>
    <x:col min="5" max="5" width="17" hidden="0" customWidth="1"/>
    <x:col min="6" max="6" width="20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3" t="str">
        <x:v>PS COMPANY LTDA — dados do anexo SEF/MG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 t="str">
        <x:v>Fonte: INTIMAÇÃO FISCAL SEFAZ-MG ICMS.pdf, página 3. Termo emitido em 31/08/2026.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3" customHeight="1">
      <x:c r="A5" s="13" t="str">
        <x:v>NM_CONTRIBUINTE</x:v>
      </x:c>
      <x:c r="B5" s="14" t="str">
        <x:v>NR_ANO_MES</x:v>
      </x:c>
      <x:c r="C5" s="14" t="str">
        <x:v>VENDAS_CARTAO</x:v>
      </x:c>
      <x:c r="D5" s="14" t="str">
        <x:v>VR_TOTAL_CREDITO</x:v>
      </x:c>
      <x:c r="E5" s="14" t="str">
        <x:v>VR_TOTAL_DEBITO</x:v>
      </x:c>
      <x:c r="F5" s="14" t="str">
        <x:v>TRANSFERENCIA_RECURSOS</x:v>
      </x:c>
      <x:c r="G5" s="14" t="str">
        <x:v>VR_TOTAL_PIX</x:v>
      </x:c>
      <x:c r="H5" s="14" t="str">
        <x:v>FATURAMENTO</x:v>
      </x:c>
      <x:c r="I5" s="15" t="str">
        <x:v>DIFERENCA</x:v>
      </x:c>
    </x:row>
    <x:row r="6" ht="24" customHeight="1">
      <x:c r="A6" s="2" t="str">
        <x:v>PS COMPANY LTDA</x:v>
      </x:c>
      <x:c r="B6" s="16" t="str">
        <x:v>202501</x:v>
      </x:c>
      <x:c r="C6" s="19" t="n">
        <x:v>990856.85</x:v>
      </x:c>
      <x:c r="D6" s="19" t="n">
        <x:v>440261.89</x:v>
      </x:c>
      <x:c r="E6" s="19"/>
      <x:c r="F6" s="19" t="n">
        <x:v>373982.46</x:v>
      </x:c>
      <x:c r="G6" s="19" t="n">
        <x:v>176612.5</x:v>
      </x:c>
      <x:c r="H6" s="19" t="n">
        <x:v>535309</x:v>
      </x:c>
      <x:c r="I6" s="19" t="n">
        <x:v>-455547.85</x:v>
      </x:c>
    </x:row>
    <x:row r="7" ht="24" customHeight="1">
      <x:c r="A7" s="2" t="str">
        <x:v>PS COMPANY LTDA</x:v>
      </x:c>
      <x:c r="B7" s="16" t="str">
        <x:v>202502</x:v>
      </x:c>
      <x:c r="C7" s="19" t="n">
        <x:v>1498424.57</x:v>
      </x:c>
      <x:c r="D7" s="19" t="n">
        <x:v>924931.48</x:v>
      </x:c>
      <x:c r="E7" s="19"/>
      <x:c r="F7" s="19" t="n">
        <x:v>220693</x:v>
      </x:c>
      <x:c r="G7" s="19" t="n">
        <x:v>352800.09</x:v>
      </x:c>
      <x:c r="H7" s="19" t="n">
        <x:v>817387.04</x:v>
      </x:c>
      <x:c r="I7" s="19" t="n">
        <x:v>-681037.53</x:v>
      </x:c>
    </x:row>
    <x:row r="8" ht="24" customHeight="1">
      <x:c r="A8" s="2" t="str">
        <x:v>PS COMPANY LTDA</x:v>
      </x:c>
      <x:c r="B8" s="16" t="str">
        <x:v>202503</x:v>
      </x:c>
      <x:c r="C8" s="19" t="n">
        <x:v>2023392.63</x:v>
      </x:c>
      <x:c r="D8" s="19" t="n">
        <x:v>1471869.78</x:v>
      </x:c>
      <x:c r="E8" s="19"/>
      <x:c r="F8" s="19" t="n">
        <x:v>100010</x:v>
      </x:c>
      <x:c r="G8" s="19" t="n">
        <x:v>451512.85</x:v>
      </x:c>
      <x:c r="H8" s="19" t="n">
        <x:v>630060.01</x:v>
      </x:c>
      <x:c r="I8" s="19" t="n">
        <x:v>-1393332.62</x:v>
      </x:c>
    </x:row>
    <x:row r="9" ht="24" customHeight="1">
      <x:c r="A9" s="2" t="str">
        <x:v>PS COMPANY LTDA</x:v>
      </x:c>
      <x:c r="B9" s="16" t="str">
        <x:v>202504</x:v>
      </x:c>
      <x:c r="C9" s="19" t="n">
        <x:v>2305315.32</x:v>
      </x:c>
      <x:c r="D9" s="19" t="n">
        <x:v>1795466.84</x:v>
      </x:c>
      <x:c r="E9" s="19"/>
      <x:c r="F9" s="19" t="n">
        <x:v>170010</x:v>
      </x:c>
      <x:c r="G9" s="19" t="n">
        <x:v>339838.48</x:v>
      </x:c>
      <x:c r="H9" s="19" t="n">
        <x:v>1122746.01</x:v>
      </x:c>
      <x:c r="I9" s="19" t="n">
        <x:v>-1182569.31</x:v>
      </x:c>
    </x:row>
    <x:row r="10" ht="24" customHeight="1">
      <x:c r="A10" s="2" t="str">
        <x:v>PS COMPANY LTDA</x:v>
      </x:c>
      <x:c r="B10" s="16" t="str">
        <x:v>202505</x:v>
      </x:c>
      <x:c r="C10" s="19" t="n">
        <x:v>2001897.62</x:v>
      </x:c>
      <x:c r="D10" s="19" t="n">
        <x:v>1698619.62</x:v>
      </x:c>
      <x:c r="E10" s="19"/>
      <x:c r="F10" s="19"/>
      <x:c r="G10" s="19" t="n">
        <x:v>303278</x:v>
      </x:c>
      <x:c r="H10" s="19" t="n">
        <x:v>1909707</x:v>
      </x:c>
      <x:c r="I10" s="19" t="n">
        <x:v>-92190.62</x:v>
      </x:c>
    </x:row>
    <x:row r="11" ht="24" customHeight="1">
      <x:c r="A11" s="2" t="str">
        <x:v>PS COMPANY LTDA</x:v>
      </x:c>
      <x:c r="B11" s="16" t="str">
        <x:v>202506</x:v>
      </x:c>
      <x:c r="C11" s="19" t="n">
        <x:v>3208837.69</x:v>
      </x:c>
      <x:c r="D11" s="19" t="n">
        <x:v>2842179.73</x:v>
      </x:c>
      <x:c r="E11" s="19"/>
      <x:c r="F11" s="19" t="n">
        <x:v>11641.75</x:v>
      </x:c>
      <x:c r="G11" s="19" t="n">
        <x:v>355016.21</x:v>
      </x:c>
      <x:c r="H11" s="19" t="n">
        <x:v>983986.08</x:v>
      </x:c>
      <x:c r="I11" s="19" t="n">
        <x:v>-2224851.61</x:v>
      </x:c>
    </x:row>
    <x:row r="12" ht="24" customHeight="1">
      <x:c r="A12" s="2" t="str">
        <x:v>PS COMPANY LTDA</x:v>
      </x:c>
      <x:c r="B12" s="16" t="str">
        <x:v>202507</x:v>
      </x:c>
      <x:c r="C12" s="19" t="n">
        <x:v>3000215.71</x:v>
      </x:c>
      <x:c r="D12" s="19" t="n">
        <x:v>2630627.91</x:v>
      </x:c>
      <x:c r="E12" s="19"/>
      <x:c r="F12" s="19" t="n">
        <x:v>14597.66</x:v>
      </x:c>
      <x:c r="G12" s="19" t="n">
        <x:v>354990.14</x:v>
      </x:c>
      <x:c r="H12" s="19" t="n">
        <x:v>1513579.53</x:v>
      </x:c>
      <x:c r="I12" s="19" t="n">
        <x:v>-1486636.18</x:v>
      </x:c>
    </x:row>
    <x:row r="13" ht="24" customHeight="1">
      <x:c r="A13" s="2" t="str">
        <x:v>PS COMPANY LTDA</x:v>
      </x:c>
      <x:c r="B13" s="16" t="str">
        <x:v>202508</x:v>
      </x:c>
      <x:c r="C13" s="19" t="n">
        <x:v>2591099.36</x:v>
      </x:c>
      <x:c r="D13" s="19" t="n">
        <x:v>2249582.3</x:v>
      </x:c>
      <x:c r="E13" s="19"/>
      <x:c r="F13" s="19" t="n">
        <x:v>14654.16</x:v>
      </x:c>
      <x:c r="G13" s="19" t="n">
        <x:v>326862.9</x:v>
      </x:c>
      <x:c r="H13" s="19" t="n">
        <x:v>1424728.04</x:v>
      </x:c>
      <x:c r="I13" s="19" t="n">
        <x:v>-1166371.32</x:v>
      </x:c>
    </x:row>
    <x:row r="14" ht="24" customHeight="1">
      <x:c r="A14" s="2" t="str">
        <x:v>PS COMPANY LTDA</x:v>
      </x:c>
      <x:c r="B14" s="16" t="str">
        <x:v>202509</x:v>
      </x:c>
      <x:c r="C14" s="19" t="n">
        <x:v>2857110.88</x:v>
      </x:c>
      <x:c r="D14" s="19" t="n">
        <x:v>2512741.49</x:v>
      </x:c>
      <x:c r="E14" s="19"/>
      <x:c r="F14" s="19" t="n">
        <x:v>1853.39</x:v>
      </x:c>
      <x:c r="G14" s="19" t="n">
        <x:v>342516</x:v>
      </x:c>
      <x:c r="H14" s="19" t="n">
        <x:v>1229265.02</x:v>
      </x:c>
      <x:c r="I14" s="19" t="n">
        <x:v>-1627845.86</x:v>
      </x:c>
    </x:row>
    <x:row r="15" ht="24" customHeight="1">
      <x:c r="A15" s="2" t="str">
        <x:v>PS COMPANY LTDA</x:v>
      </x:c>
      <x:c r="B15" s="16" t="str">
        <x:v>202511</x:v>
      </x:c>
      <x:c r="C15" s="19" t="n">
        <x:v>1618280.06</x:v>
      </x:c>
      <x:c r="D15" s="19" t="n">
        <x:v>1355372.15</x:v>
      </x:c>
      <x:c r="E15" s="19"/>
      <x:c r="F15" s="19" t="n">
        <x:v>1190.91</x:v>
      </x:c>
      <x:c r="G15" s="19" t="n">
        <x:v>261717</x:v>
      </x:c>
      <x:c r="H15" s="19" t="n">
        <x:v>1492592.64</x:v>
      </x:c>
      <x:c r="I15" s="19" t="n">
        <x:v>-125687.42</x:v>
      </x:c>
    </x:row>
    <x:row r="16" ht="24" customHeight="1">
      <x:c r="A16" s="2" t="str">
        <x:v>PS COMPANY LTDA</x:v>
      </x:c>
      <x:c r="B16" s="16" t="str">
        <x:v>202512</x:v>
      </x:c>
      <x:c r="C16" s="19" t="n">
        <x:v>2481210.99</x:v>
      </x:c>
      <x:c r="D16" s="19" t="n">
        <x:v>2205002.99</x:v>
      </x:c>
      <x:c r="E16" s="19"/>
      <x:c r="F16" s="19"/>
      <x:c r="G16" s="19" t="n">
        <x:v>276208</x:v>
      </x:c>
      <x:c r="H16" s="19" t="n">
        <x:v>1297706.8</x:v>
      </x:c>
      <x:c r="I16" s="19" t="n">
        <x:v>-1183504.19</x:v>
      </x:c>
    </x:row>
    <x:row r="17" ht="24" customHeight="1">
      <x:c r="A17" s="2" t="str">
        <x:v>PS COMPANY LTDA</x:v>
      </x:c>
      <x:c r="B17" s="16" t="str">
        <x:v>202601</x:v>
      </x:c>
      <x:c r="C17" s="19" t="n">
        <x:v>3020204.48</x:v>
      </x:c>
      <x:c r="D17" s="19" t="n">
        <x:v>2779971.48</x:v>
      </x:c>
      <x:c r="E17" s="19"/>
      <x:c r="F17" s="19"/>
      <x:c r="G17" s="19" t="n">
        <x:v>240233</x:v>
      </x:c>
      <x:c r="H17" s="19" t="n">
        <x:v>909741.92</x:v>
      </x:c>
      <x:c r="I17" s="19" t="n">
        <x:v>-2110462.56</x:v>
      </x:c>
    </x:row>
    <x:row r="18" ht="24" customHeight="1">
      <x:c r="A18" s="2" t="str">
        <x:v>PS COMPANY LTDA</x:v>
      </x:c>
      <x:c r="B18" s="16" t="str">
        <x:v>202602</x:v>
      </x:c>
      <x:c r="C18" s="19" t="n">
        <x:v>2235463.99</x:v>
      </x:c>
      <x:c r="D18" s="19" t="n">
        <x:v>2019381.99</x:v>
      </x:c>
      <x:c r="E18" s="19"/>
      <x:c r="F18" s="19"/>
      <x:c r="G18" s="19" t="n">
        <x:v>216082</x:v>
      </x:c>
      <x:c r="H18" s="19" t="n">
        <x:v>583718.92</x:v>
      </x:c>
      <x:c r="I18" s="19" t="n">
        <x:v>-1651745.07</x:v>
      </x:c>
    </x:row>
    <x:row r="19" ht="24" customHeight="1">
      <x:c r="A19" s="2" t="str">
        <x:v>PS COMPANY LTDA</x:v>
      </x:c>
      <x:c r="B19" s="16" t="str">
        <x:v>202603</x:v>
      </x:c>
      <x:c r="C19" s="19" t="n">
        <x:v>1111751.36</x:v>
      </x:c>
      <x:c r="D19" s="19" t="n">
        <x:v>952769.57</x:v>
      </x:c>
      <x:c r="E19" s="19"/>
      <x:c r="F19" s="19"/>
      <x:c r="G19" s="19" t="n">
        <x:v>158981.79</x:v>
      </x:c>
      <x:c r="H19" s="19" t="n">
        <x:v>477215.96</x:v>
      </x:c>
      <x:c r="I19" s="19" t="n">
        <x:v>-634535.4</x:v>
      </x:c>
    </x:row>
    <x:row r="20" ht="24" customHeight="1">
      <x:c r="A20" s="2" t="str">
        <x:v>PS COMPANY LTDA</x:v>
      </x:c>
      <x:c r="B20" s="16" t="str">
        <x:v>202605</x:v>
      </x:c>
      <x:c r="C20" s="19" t="n">
        <x:v>260838.16</x:v>
      </x:c>
      <x:c r="D20" s="19" t="n">
        <x:v>195998.08</x:v>
      </x:c>
      <x:c r="E20" s="19"/>
      <x:c r="F20" s="19"/>
      <x:c r="G20" s="19" t="n">
        <x:v>64840.08</x:v>
      </x:c>
      <x:c r="H20" s="19" t="n">
        <x:v>210851.96</x:v>
      </x:c>
      <x:c r="I20" s="19" t="n">
        <x:v>-49986.2</x:v>
      </x:c>
    </x:row>
    <x:row r="21" ht="24" customHeight="1">
      <x:c r="A21" s="2"/>
      <x:c r="B21" s="2"/>
      <x:c r="C21" s="20"/>
      <x:c r="D21" s="20"/>
      <x:c r="E21" s="20"/>
      <x:c r="F21" s="20"/>
      <x:c r="G21" s="20"/>
      <x:c r="H21" s="24" t="str">
        <x:v>TOTAL do PDF</x:v>
      </x:c>
      <x:c r="I21" s="24" t="n">
        <x:v>-16066303.74</x:v>
      </x:c>
    </x:row>
    <x:row r="22" ht="24" customHeight="1">
      <x:c r="A22" s="2"/>
      <x:c r="B22" s="2"/>
      <x:c r="C22" s="20"/>
      <x:c r="D22" s="20"/>
      <x:c r="E22" s="20"/>
      <x:c r="F22" s="20"/>
      <x:c r="G22" s="20"/>
      <x:c r="H22" s="20"/>
      <x:c r="I22" s="20"/>
    </x:row>
    <x:row r="23" ht="24" customHeight="1">
      <x:c r="A23" s="27" t="str">
        <x:v>Totais calculados</x:v>
      </x:c>
      <x:c r="B23" s="27"/>
      <x:c r="C23" s="24" t="n">
        <x:f>SUM(C6:C20)</x:f>
        <x:v>31204899.66999999</x:v>
      </x:c>
      <x:c r="D23" s="24" t="n">
        <x:f>SUM(D6:D20)</x:f>
        <x:v>26074777.299999997</x:v>
      </x:c>
      <x:c r="E23" s="24"/>
      <x:c r="F23" s="24" t="n">
        <x:f>SUM(F6:F20)</x:f>
        <x:v>908633.3300000001</x:v>
      </x:c>
      <x:c r="G23" s="24" t="n">
        <x:f>SUM(G6:G20)</x:f>
        <x:v>4221489.04</x:v>
      </x:c>
      <x:c r="H23" s="24" t="n">
        <x:f>SUM(H6:H20)</x:f>
        <x:v>15138595.930000003</x:v>
      </x:c>
      <x:c r="I23" s="24" t="n">
        <x:f>SUM(I6:I20)</x:f>
        <x:v>-16066303.739999998</x:v>
      </x:c>
    </x:row>
    <x:row r="24" ht="24" customHeight="1">
      <x:c r="A24" s="2"/>
      <x:c r="B24" s="2"/>
      <x:c r="C24" s="21"/>
      <x:c r="D24" s="21"/>
      <x:c r="E24" s="21"/>
      <x:c r="F24" s="21"/>
      <x:c r="G24" s="21"/>
      <x:c r="H24" s="21"/>
      <x:c r="I24" s="21"/>
    </x:row>
    <x:row r="25" ht="24" customHeight="1">
      <x:c r="A25" s="2" t="str">
        <x:v>Desvio dos meios (R$)</x:v>
      </x:c>
      <x:c r="B25" s="2"/>
      <x:c r="C25" s="20" t="n">
        <x:f>ROUND(C23-SUM(D23:G23),2)</x:f>
        <x:v>0</x:v>
      </x:c>
      <x:c r="D25" s="21" t="str">
        <x:v>Agregado menos soma dos meios: resultado esperado 0,00.</x:v>
      </x:c>
      <x:c r="E25" s="21"/>
      <x:c r="F25" s="21"/>
      <x:c r="G25" s="21"/>
      <x:c r="H25" s="21"/>
      <x:c r="I25" s="21"/>
    </x:row>
    <x:row r="26" ht="24" customHeight="1">
      <x:c r="A26" s="2" t="str">
        <x:v>Desvio total PDF (R$)</x:v>
      </x:c>
      <x:c r="B26" s="2"/>
      <x:c r="C26" s="20" t="n">
        <x:f>ROUND(I23-I21,2)</x:f>
        <x:v>0</x:v>
      </x:c>
      <x:c r="D26" s="21" t="str">
        <x:v>Total das diferenças menos total do PDF: resultado esperado 0,00.</x:v>
      </x:c>
      <x:c r="E26" s="21"/>
      <x:c r="F26" s="21"/>
      <x:c r="G26" s="21"/>
      <x:c r="H26" s="21"/>
      <x:c r="I26" s="21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4" customHeight="1">
      <x:c r="A28" s="4" t="str">
        <x:v>Vazios preservados. VENDAS_CARTAO agrega crédito, transferências e PIX. Não somar PIX novamente ao agregado.</x:v>
      </x:c>
      <x:c r="B28" s="2"/>
      <x:c r="C28" s="2"/>
      <x:c r="D28" s="2"/>
      <x:c r="E28" s="2"/>
      <x:c r="F28" s="2"/>
      <x:c r="G28" s="2"/>
      <x:c r="H28" s="2"/>
      <x:c r="I28" s="2"/>
    </x:row>
  </x:sheetData>
  <x:conditionalFormatting sqref="C25:C26">
    <x:cfRule type="cellIs" dxfId="0" priority="1" operator="notEqual">
      <x:formula>0</x:formula>
    </x:cfRule>
  </x:conditionalFormatting>
  <x:pageMargins left="0.7" right="0.7" top="0.75" bottom="0.75" header="0.3" footer="0.3"/>
</x:worksheet>
</file>