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d0e44d689449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adro mensal" sheetId="1" r:id="Rae4a9128480844af"/>
    <x:sheet xmlns:r="http://schemas.openxmlformats.org/officeDocument/2006/relationships" name="Fonte SEF" sheetId="2" r:id="R50ab33002e7549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-#,##0.00;0.00"/>
    <x:numFmt numFmtId="201" formatCode="mm/yyyy"/>
  </x:numFmts>
  <x:fonts count="7">
    <x:font>
      <x:sz val="11"/>
      <x:name val="Carlito"/>
    </x:font>
    <x:font>
      <x:sz val="10"/>
      <x:color rgb="FF202B36"/>
      <x:name val="Arial"/>
    </x:font>
    <x:font>
      <x:b/>
      <x:sz val="16"/>
      <x:color rgb="FF26384A"/>
      <x:name val="Arial"/>
    </x:font>
    <x:font>
      <x:sz val="10"/>
      <x:color rgb="FF596675"/>
      <x:name val="Arial"/>
    </x:font>
    <x:font>
      <x:b/>
      <x:sz val="10"/>
      <x:color rgb="FFFFFFFF"/>
      <x:name val="Arial"/>
    </x:font>
    <x:font>
      <x:b/>
      <x:sz val="10"/>
      <x:color rgb="FF202B36"/>
      <x:name val="Arial"/>
    </x:font>
    <x:font>
      <x:b/>
      <x:sz val="10"/>
      <x:color rgb="FF26384A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6384A"/>
      </x:patternFill>
    </x:fill>
    <x:fill>
      <x:patternFill patternType="solid">
        <x:fgColor rgb="FFEBEFF3"/>
      </x:patternFill>
    </x:fill>
    <x:fill>
      <x:patternFill patternType="solid">
        <x:fgColor rgb="FFF6F0EA"/>
      </x:patternFill>
    </x:fill>
    <x:fill>
      <x:patternFill patternType="solid">
        <x:fgColor rgb="FFFFF2CC"/>
      </x:patternFill>
    </x:fill>
  </x:fills>
  <x:borders count="5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thin">
        <x:color rgb="FF26384A"/>
      </x:top>
      <x:bottom/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horizontal="right" vertical="center"/>
    </x:xf>
    <x:xf numFmtId="0" fontId="6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horizontal="left" vertical="center"/>
    </x:xf>
    <x:xf numFmtId="200" fontId="1" fillId="5" borderId="0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200" fontId="5" fillId="3" borderId="4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2">
    <x:dxf>
      <x:font>
        <x:b/>
        <x:color rgb="FF9A5B00"/>
      </x:font>
    </x:dxf>
    <x:dxf>
      <x:font>
        <x:b/>
        <x:color rgb="FF24549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7fd75ff6d84c71" /><Relationship Type="http://schemas.openxmlformats.org/officeDocument/2006/relationships/theme" Target="/xl/theme/theme1.xml" Id="R46c7e34305f14631" /><Relationship Type="http://schemas.openxmlformats.org/officeDocument/2006/relationships/sharedStrings" Target="/xl/sharedStrings.xml" Id="R4d0e1191d3e64386" /><Relationship Type="http://schemas.openxmlformats.org/officeDocument/2006/relationships/worksheet" Target="/xl/worksheets/sheet1.xml" Id="Rae4a9128480844af" /><Relationship Type="http://schemas.openxmlformats.org/officeDocument/2006/relationships/worksheet" Target="/xl/worksheets/sheet2.xml" Id="R50ab33002e7549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6384A"/>
  </x:sheetPr>
  <x:sheetViews>
    <x:sheetView showGridLines="0" workbookViewId="0">
      <x:pane xSplit="1" ySplit="9" topLeftCell="B10" activePane="bottomRight" state="frozen"/>
    </x:sheetView>
  </x:sheetViews>
  <x:sheetFormatPr defaultRowHeight="15"/>
  <x:cols>
    <x:col min="1" max="1" width="15.5600004196167" hidden="0" customWidth="1"/>
    <x:col min="2" max="2" width="19.780000686645508" hidden="0" customWidth="1"/>
    <x:col min="3" max="3" width="18.889999389648438" hidden="0" customWidth="1"/>
    <x:col min="4" max="4" width="18.329999923706055" hidden="0" customWidth="1"/>
    <x:col min="5" max="5" width="20.559999465942383" hidden="0" customWidth="1"/>
    <x:col min="6" max="6" width="19.440000534057617" hidden="0" customWidth="1"/>
    <x:col min="7" max="7" width="20.559999465942383" hidden="0" customWidth="1"/>
    <x:col min="8" max="8" width="18.329999923706055" hidden="0" customWidth="1"/>
    <x:col min="9" max="9" width="21.110000610351562" hidden="0" customWidth="1"/>
    <x:col min="10" max="10" width="19.780000686645508" hidden="0" customWidth="1"/>
    <x:col min="11" max="11" width="20" hidden="0" customWidth="1"/>
    <x:col min="12" max="12" width="26.110000610351562" hidden="0" customWidth="1"/>
    <x:col min="13" max="13" width="18.889999389648438" hidden="0" customWidth="1"/>
    <x:col min="14" max="14" width="21.670000076293945" hidden="0" customWidth="1"/>
    <x:col min="15" max="15" width="4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3" customHeight="1">
      <x:c r="A2" s="3" t="str">
        <x:v>PS COMPANY LTDA — quadro mensal de janeiro/2025 a maio/2026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5" customHeight="1">
      <x:c r="A4" s="4" t="str">
        <x:v>Modelo de preenchimento: os relatórios Braip, extratos, notas e documentos dos ajustes ainda não foram recebidos.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5" customHeight="1">
      <x:c r="A5" s="4" t="str">
        <x:v>B contém o agregado financeiro do Fisco. C preserva o faturamento informado no anexo. D calcula apenas B − C.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5" customHeight="1">
      <x:c r="A6" s="4" t="str">
        <x:v>Os seis itens solicitados estão numerados nos cabeçalhos. Campos amarelos vazios significam pendência, nunca zero confirmado.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25" customHeight="1">
      <x:c r="A7" s="4" t="str">
        <x:v>Não há cálculo automático de ICMS, saldo ajustado ou venda sem nota. A conciliação depende de documentos e identificação das operações.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 ht="25" customHeight="1">
      <x:c r="A8" s="23" t="str">
        <x:v>BASE FISCAL</x:v>
      </x:c>
      <x:c r="B8" s="23"/>
      <x:c r="C8" s="23"/>
      <x:c r="D8" s="23"/>
      <x:c r="E8" s="23" t="str">
        <x:v>SEGREGAÇÕES A COMPROVAR</x:v>
      </x:c>
      <x:c r="F8" s="23"/>
      <x:c r="G8" s="23"/>
      <x:c r="H8" s="23"/>
      <x:c r="I8" s="23" t="str">
        <x:v>COBERTURA DOCUMENTAL</x:v>
      </x:c>
      <x:c r="J8" s="23"/>
      <x:c r="K8" s="23" t="str">
        <x:v>PENDÊNCIAS POR VENDA</x:v>
      </x:c>
      <x:c r="L8" s="23"/>
      <x:c r="M8" s="23"/>
      <x:c r="N8" s="23" t="str">
        <x:v>REVISÃO</x:v>
      </x:c>
      <x:c r="O8" s="23"/>
    </x:row>
    <x:row r="9" ht="65" customHeight="1">
      <x:c r="A9" s="13" t="str">
        <x:v>Competência</x:v>
      </x:c>
      <x:c r="B9" s="14" t="str">
        <x:v>1. Valor do Fisco
VENDAS_CARTAO (R$)</x:v>
      </x:c>
      <x:c r="C9" s="14" t="str">
        <x:v>Faturamento informado
no anexo (R$)</x:v>
      </x:c>
      <x:c r="D9" s="14" t="str">
        <x:v>Diferença do anexo
B − C (R$)</x:v>
      </x:c>
      <x:c r="E9" s="14" t="str">
        <x:v>2. Mesma venda duplicada
Braip / financeiro (R$)</x:v>
      </x:c>
      <x:c r="F9" s="14" t="str">
        <x:v>3. Juros de parcelamento
segregados (R$)</x:v>
      </x:c>
      <x:c r="G9" s="14" t="str">
        <x:v>4. Devolução / chargeback
admissível (R$)</x:v>
      </x:c>
      <x:c r="H9" s="14" t="str">
        <x:v>4. Em análise
informativo (R$)</x:v>
      </x:c>
      <x:c r="I9" s="14" t="str">
        <x:v>5. Vendas com nota
mesmo em outro mês (R$)</x:v>
      </x:c>
      <x:c r="J9" s="14" t="str">
        <x:v>5. Ajuste comprovado
de cobertura ± (R$)</x:v>
      </x:c>
      <x:c r="K9" s="14" t="str">
        <x:v>6. Sem nota confirmado
por ID Braip (R$)</x:v>
      </x:c>
      <x:c r="L9" s="14" t="str">
        <x:v>6. IDs Braip
das vendas sem nota</x:v>
      </x:c>
      <x:c r="M9" s="14" t="str">
        <x:v>Não identificado
valor a apurar (R$)</x:v>
      </x:c>
      <x:c r="N9" s="14" t="str">
        <x:v>Situação da
conciliação</x:v>
      </x:c>
      <x:c r="O9" s="15" t="str">
        <x:v>Documentos, classificação
e responsável pela revisão</x:v>
      </x:c>
    </x:row>
    <x:row r="10" ht="25" customHeight="1">
      <x:c r="A10" s="26" t="d">
        <x:v>2025-01-01T12:00:00.000Z</x:v>
      </x:c>
      <x:c r="B10" s="17" t="n">
        <x:f>'Fonte SEF'!C6</x:f>
        <x:v>990856.85</x:v>
      </x:c>
      <x:c r="C10" s="17" t="n">
        <x:f>'Fonte SEF'!H6</x:f>
        <x:v>535309</x:v>
      </x:c>
      <x:c r="D10" s="17" t="n">
        <x:f>IF(AND(ISNUMBER(B10),ISNUMBER(C10)),ROUND(B10-C10,2),"Não disponível")</x:f>
        <x:v>455547.85</x:v>
      </x:c>
      <x:c r="E10" s="30"/>
      <x:c r="F10" s="30"/>
      <x:c r="G10" s="30"/>
      <x:c r="H10" s="30"/>
      <x:c r="I10" s="30"/>
      <x:c r="J10" s="30"/>
      <x:c r="K10" s="30"/>
      <x:c r="L10" s="31"/>
      <x:c r="M10" s="30"/>
      <x:c r="N10" s="31" t="str">
        <x:v>Pendente</x:v>
      </x:c>
      <x:c r="O10" s="31"/>
    </x:row>
    <x:row r="11" ht="25" customHeight="1">
      <x:c r="A11" s="26" t="d">
        <x:v>2025-02-01T12:00:00.000Z</x:v>
      </x:c>
      <x:c r="B11" s="17" t="n">
        <x:f>'Fonte SEF'!C7</x:f>
        <x:v>1498424.57</x:v>
      </x:c>
      <x:c r="C11" s="17" t="n">
        <x:f>'Fonte SEF'!H7</x:f>
        <x:v>817387.04</x:v>
      </x:c>
      <x:c r="D11" s="17" t="n">
        <x:f>IF(AND(ISNUMBER(B11),ISNUMBER(C11)),ROUND(B11-C11,2),"Não disponível")</x:f>
        <x:v>681037.53</x:v>
      </x:c>
      <x:c r="E11" s="30"/>
      <x:c r="F11" s="30"/>
      <x:c r="G11" s="30"/>
      <x:c r="H11" s="30"/>
      <x:c r="I11" s="30"/>
      <x:c r="J11" s="30"/>
      <x:c r="K11" s="30"/>
      <x:c r="L11" s="31"/>
      <x:c r="M11" s="30"/>
      <x:c r="N11" s="31" t="str">
        <x:v>Pendente</x:v>
      </x:c>
      <x:c r="O11" s="31"/>
    </x:row>
    <x:row r="12" ht="25" customHeight="1">
      <x:c r="A12" s="26" t="d">
        <x:v>2025-03-01T12:00:00.000Z</x:v>
      </x:c>
      <x:c r="B12" s="17" t="n">
        <x:f>'Fonte SEF'!C8</x:f>
        <x:v>2023392.63</x:v>
      </x:c>
      <x:c r="C12" s="17" t="n">
        <x:f>'Fonte SEF'!H8</x:f>
        <x:v>630060.01</x:v>
      </x:c>
      <x:c r="D12" s="17" t="n">
        <x:f>IF(AND(ISNUMBER(B12),ISNUMBER(C12)),ROUND(B12-C12,2),"Não disponível")</x:f>
        <x:v>1393332.62</x:v>
      </x:c>
      <x:c r="E12" s="30"/>
      <x:c r="F12" s="30"/>
      <x:c r="G12" s="30"/>
      <x:c r="H12" s="30"/>
      <x:c r="I12" s="30"/>
      <x:c r="J12" s="30"/>
      <x:c r="K12" s="30"/>
      <x:c r="L12" s="31"/>
      <x:c r="M12" s="30"/>
      <x:c r="N12" s="31" t="str">
        <x:v>Pendente</x:v>
      </x:c>
      <x:c r="O12" s="31"/>
    </x:row>
    <x:row r="13" ht="25" customHeight="1">
      <x:c r="A13" s="26" t="d">
        <x:v>2025-04-01T12:00:00.000Z</x:v>
      </x:c>
      <x:c r="B13" s="17" t="n">
        <x:f>'Fonte SEF'!C9</x:f>
        <x:v>2305315.32</x:v>
      </x:c>
      <x:c r="C13" s="17" t="n">
        <x:f>'Fonte SEF'!H9</x:f>
        <x:v>1122746.01</x:v>
      </x:c>
      <x:c r="D13" s="17" t="n">
        <x:f>IF(AND(ISNUMBER(B13),ISNUMBER(C13)),ROUND(B13-C13,2),"Não disponível")</x:f>
        <x:v>1182569.31</x:v>
      </x:c>
      <x:c r="E13" s="30"/>
      <x:c r="F13" s="30"/>
      <x:c r="G13" s="30"/>
      <x:c r="H13" s="30"/>
      <x:c r="I13" s="30"/>
      <x:c r="J13" s="30"/>
      <x:c r="K13" s="30"/>
      <x:c r="L13" s="31"/>
      <x:c r="M13" s="30"/>
      <x:c r="N13" s="31" t="str">
        <x:v>Pendente</x:v>
      </x:c>
      <x:c r="O13" s="31"/>
    </x:row>
    <x:row r="14" ht="25" customHeight="1">
      <x:c r="A14" s="26" t="d">
        <x:v>2025-05-01T12:00:00.000Z</x:v>
      </x:c>
      <x:c r="B14" s="17" t="n">
        <x:f>'Fonte SEF'!C10</x:f>
        <x:v>2001897.62</x:v>
      </x:c>
      <x:c r="C14" s="17" t="n">
        <x:f>'Fonte SEF'!H10</x:f>
        <x:v>1909707</x:v>
      </x:c>
      <x:c r="D14" s="17" t="n">
        <x:f>IF(AND(ISNUMBER(B14),ISNUMBER(C14)),ROUND(B14-C14,2),"Não disponível")</x:f>
        <x:v>92190.62</x:v>
      </x:c>
      <x:c r="E14" s="30"/>
      <x:c r="F14" s="30"/>
      <x:c r="G14" s="30"/>
      <x:c r="H14" s="30"/>
      <x:c r="I14" s="30"/>
      <x:c r="J14" s="30"/>
      <x:c r="K14" s="30"/>
      <x:c r="L14" s="31"/>
      <x:c r="M14" s="30"/>
      <x:c r="N14" s="31" t="str">
        <x:v>Pendente</x:v>
      </x:c>
      <x:c r="O14" s="31"/>
    </x:row>
    <x:row r="15" ht="25" customHeight="1">
      <x:c r="A15" s="26" t="d">
        <x:v>2025-06-01T12:00:00.000Z</x:v>
      </x:c>
      <x:c r="B15" s="17" t="n">
        <x:f>'Fonte SEF'!C11</x:f>
        <x:v>3208837.69</x:v>
      </x:c>
      <x:c r="C15" s="17" t="n">
        <x:f>'Fonte SEF'!H11</x:f>
        <x:v>983986.08</x:v>
      </x:c>
      <x:c r="D15" s="17" t="n">
        <x:f>IF(AND(ISNUMBER(B15),ISNUMBER(C15)),ROUND(B15-C15,2),"Não disponível")</x:f>
        <x:v>2224851.61</x:v>
      </x:c>
      <x:c r="E15" s="30"/>
      <x:c r="F15" s="30"/>
      <x:c r="G15" s="30"/>
      <x:c r="H15" s="30"/>
      <x:c r="I15" s="30"/>
      <x:c r="J15" s="30"/>
      <x:c r="K15" s="30"/>
      <x:c r="L15" s="31"/>
      <x:c r="M15" s="30"/>
      <x:c r="N15" s="31" t="str">
        <x:v>Pendente</x:v>
      </x:c>
      <x:c r="O15" s="31"/>
    </x:row>
    <x:row r="16" ht="25" customHeight="1">
      <x:c r="A16" s="26" t="d">
        <x:v>2025-07-01T12:00:00.000Z</x:v>
      </x:c>
      <x:c r="B16" s="17" t="n">
        <x:f>'Fonte SEF'!C12</x:f>
        <x:v>3000215.71</x:v>
      </x:c>
      <x:c r="C16" s="17" t="n">
        <x:f>'Fonte SEF'!H12</x:f>
        <x:v>1513579.53</x:v>
      </x:c>
      <x:c r="D16" s="17" t="n">
        <x:f>IF(AND(ISNUMBER(B16),ISNUMBER(C16)),ROUND(B16-C16,2),"Não disponível")</x:f>
        <x:v>1486636.18</x:v>
      </x:c>
      <x:c r="E16" s="30"/>
      <x:c r="F16" s="30"/>
      <x:c r="G16" s="30"/>
      <x:c r="H16" s="30"/>
      <x:c r="I16" s="30"/>
      <x:c r="J16" s="30"/>
      <x:c r="K16" s="30"/>
      <x:c r="L16" s="31"/>
      <x:c r="M16" s="30"/>
      <x:c r="N16" s="31" t="str">
        <x:v>Pendente</x:v>
      </x:c>
      <x:c r="O16" s="31"/>
    </x:row>
    <x:row r="17" ht="25" customHeight="1">
      <x:c r="A17" s="26" t="d">
        <x:v>2025-08-01T12:00:00.000Z</x:v>
      </x:c>
      <x:c r="B17" s="17" t="n">
        <x:f>'Fonte SEF'!C13</x:f>
        <x:v>2591099.36</x:v>
      </x:c>
      <x:c r="C17" s="17" t="n">
        <x:f>'Fonte SEF'!H13</x:f>
        <x:v>1424728.04</x:v>
      </x:c>
      <x:c r="D17" s="17" t="n">
        <x:f>IF(AND(ISNUMBER(B17),ISNUMBER(C17)),ROUND(B17-C17,2),"Não disponível")</x:f>
        <x:v>1166371.32</x:v>
      </x:c>
      <x:c r="E17" s="30"/>
      <x:c r="F17" s="30"/>
      <x:c r="G17" s="30"/>
      <x:c r="H17" s="30"/>
      <x:c r="I17" s="30"/>
      <x:c r="J17" s="30"/>
      <x:c r="K17" s="30"/>
      <x:c r="L17" s="31"/>
      <x:c r="M17" s="30"/>
      <x:c r="N17" s="31" t="str">
        <x:v>Pendente</x:v>
      </x:c>
      <x:c r="O17" s="31"/>
    </x:row>
    <x:row r="18" ht="25" customHeight="1">
      <x:c r="A18" s="26" t="d">
        <x:v>2025-09-01T12:00:00.000Z</x:v>
      </x:c>
      <x:c r="B18" s="17" t="n">
        <x:f>'Fonte SEF'!C14</x:f>
        <x:v>2857110.88</x:v>
      </x:c>
      <x:c r="C18" s="17" t="n">
        <x:f>'Fonte SEF'!H14</x:f>
        <x:v>1229265.02</x:v>
      </x:c>
      <x:c r="D18" s="17" t="n">
        <x:f>IF(AND(ISNUMBER(B18),ISNUMBER(C18)),ROUND(B18-C18,2),"Não disponível")</x:f>
        <x:v>1627845.86</x:v>
      </x:c>
      <x:c r="E18" s="30"/>
      <x:c r="F18" s="30"/>
      <x:c r="G18" s="30"/>
      <x:c r="H18" s="30"/>
      <x:c r="I18" s="30"/>
      <x:c r="J18" s="30"/>
      <x:c r="K18" s="30"/>
      <x:c r="L18" s="31"/>
      <x:c r="M18" s="30"/>
      <x:c r="N18" s="31" t="str">
        <x:v>Pendente</x:v>
      </x:c>
      <x:c r="O18" s="31"/>
    </x:row>
    <x:row r="19" ht="25" customHeight="1">
      <x:c r="A19" s="26" t="d">
        <x:v>2025-10-01T12:00:00.000Z</x:v>
      </x:c>
      <x:c r="B19" s="29" t="str">
        <x:v>Não consta no anexo</x:v>
      </x:c>
      <x:c r="C19" s="29"/>
      <x:c r="D19" s="29" t="str">
        <x:f>IF(AND(ISNUMBER(B19),ISNUMBER(C19)),ROUND(B19-C19,2),"Não disponível")</x:f>
        <x:v>Não disponível</x:v>
      </x:c>
      <x:c r="E19" s="30"/>
      <x:c r="F19" s="30"/>
      <x:c r="G19" s="30"/>
      <x:c r="H19" s="30"/>
      <x:c r="I19" s="30"/>
      <x:c r="J19" s="30"/>
      <x:c r="K19" s="30"/>
      <x:c r="L19" s="31"/>
      <x:c r="M19" s="30"/>
      <x:c r="N19" s="31" t="str">
        <x:v>Pendente</x:v>
      </x:c>
      <x:c r="O19" s="31"/>
    </x:row>
    <x:row r="20" ht="25" customHeight="1">
      <x:c r="A20" s="26" t="d">
        <x:v>2025-11-01T12:00:00.000Z</x:v>
      </x:c>
      <x:c r="B20" s="17" t="n">
        <x:f>'Fonte SEF'!C15</x:f>
        <x:v>1618280.06</x:v>
      </x:c>
      <x:c r="C20" s="17" t="n">
        <x:f>'Fonte SEF'!H15</x:f>
        <x:v>1492592.64</x:v>
      </x:c>
      <x:c r="D20" s="17" t="n">
        <x:f>IF(AND(ISNUMBER(B20),ISNUMBER(C20)),ROUND(B20-C20,2),"Não disponível")</x:f>
        <x:v>125687.42</x:v>
      </x:c>
      <x:c r="E20" s="30"/>
      <x:c r="F20" s="30"/>
      <x:c r="G20" s="30"/>
      <x:c r="H20" s="30"/>
      <x:c r="I20" s="30"/>
      <x:c r="J20" s="30"/>
      <x:c r="K20" s="30"/>
      <x:c r="L20" s="31"/>
      <x:c r="M20" s="30"/>
      <x:c r="N20" s="31" t="str">
        <x:v>Pendente</x:v>
      </x:c>
      <x:c r="O20" s="31"/>
    </x:row>
    <x:row r="21" ht="25" customHeight="1">
      <x:c r="A21" s="26" t="d">
        <x:v>2025-12-01T12:00:00.000Z</x:v>
      </x:c>
      <x:c r="B21" s="17" t="n">
        <x:f>'Fonte SEF'!C16</x:f>
        <x:v>2481210.99</x:v>
      </x:c>
      <x:c r="C21" s="17" t="n">
        <x:f>'Fonte SEF'!H16</x:f>
        <x:v>1297706.8</x:v>
      </x:c>
      <x:c r="D21" s="17" t="n">
        <x:f>IF(AND(ISNUMBER(B21),ISNUMBER(C21)),ROUND(B21-C21,2),"Não disponível")</x:f>
        <x:v>1183504.19</x:v>
      </x:c>
      <x:c r="E21" s="30"/>
      <x:c r="F21" s="30"/>
      <x:c r="G21" s="30"/>
      <x:c r="H21" s="30"/>
      <x:c r="I21" s="30"/>
      <x:c r="J21" s="30"/>
      <x:c r="K21" s="30"/>
      <x:c r="L21" s="31"/>
      <x:c r="M21" s="30"/>
      <x:c r="N21" s="31" t="str">
        <x:v>Pendente</x:v>
      </x:c>
      <x:c r="O21" s="31"/>
    </x:row>
    <x:row r="22" ht="25" customHeight="1">
      <x:c r="A22" s="26" t="d">
        <x:v>2026-01-01T12:00:00.000Z</x:v>
      </x:c>
      <x:c r="B22" s="17" t="n">
        <x:f>'Fonte SEF'!C17</x:f>
        <x:v>3020204.48</x:v>
      </x:c>
      <x:c r="C22" s="17" t="n">
        <x:f>'Fonte SEF'!H17</x:f>
        <x:v>909741.92</x:v>
      </x:c>
      <x:c r="D22" s="17" t="n">
        <x:f>IF(AND(ISNUMBER(B22),ISNUMBER(C22)),ROUND(B22-C22,2),"Não disponível")</x:f>
        <x:v>2110462.56</x:v>
      </x:c>
      <x:c r="E22" s="30"/>
      <x:c r="F22" s="30"/>
      <x:c r="G22" s="30"/>
      <x:c r="H22" s="30"/>
      <x:c r="I22" s="30"/>
      <x:c r="J22" s="30"/>
      <x:c r="K22" s="30"/>
      <x:c r="L22" s="31"/>
      <x:c r="M22" s="30"/>
      <x:c r="N22" s="31" t="str">
        <x:v>Pendente</x:v>
      </x:c>
      <x:c r="O22" s="31"/>
    </x:row>
    <x:row r="23" ht="25" customHeight="1">
      <x:c r="A23" s="26" t="d">
        <x:v>2026-02-01T12:00:00.000Z</x:v>
      </x:c>
      <x:c r="B23" s="17" t="n">
        <x:f>'Fonte SEF'!C18</x:f>
        <x:v>2235463.99</x:v>
      </x:c>
      <x:c r="C23" s="17" t="n">
        <x:f>'Fonte SEF'!H18</x:f>
        <x:v>583718.92</x:v>
      </x:c>
      <x:c r="D23" s="17" t="n">
        <x:f>IF(AND(ISNUMBER(B23),ISNUMBER(C23)),ROUND(B23-C23,2),"Não disponível")</x:f>
        <x:v>1651745.07</x:v>
      </x:c>
      <x:c r="E23" s="30"/>
      <x:c r="F23" s="30"/>
      <x:c r="G23" s="30"/>
      <x:c r="H23" s="30"/>
      <x:c r="I23" s="30"/>
      <x:c r="J23" s="30"/>
      <x:c r="K23" s="30"/>
      <x:c r="L23" s="31"/>
      <x:c r="M23" s="30"/>
      <x:c r="N23" s="31" t="str">
        <x:v>Pendente</x:v>
      </x:c>
      <x:c r="O23" s="31"/>
    </x:row>
    <x:row r="24" ht="25" customHeight="1">
      <x:c r="A24" s="26" t="d">
        <x:v>2026-03-01T12:00:00.000Z</x:v>
      </x:c>
      <x:c r="B24" s="17" t="n">
        <x:f>'Fonte SEF'!C19</x:f>
        <x:v>1111751.36</x:v>
      </x:c>
      <x:c r="C24" s="17" t="n">
        <x:f>'Fonte SEF'!H19</x:f>
        <x:v>477215.96</x:v>
      </x:c>
      <x:c r="D24" s="17" t="n">
        <x:f>IF(AND(ISNUMBER(B24),ISNUMBER(C24)),ROUND(B24-C24,2),"Não disponível")</x:f>
        <x:v>634535.4</x:v>
      </x:c>
      <x:c r="E24" s="30"/>
      <x:c r="F24" s="30"/>
      <x:c r="G24" s="30"/>
      <x:c r="H24" s="30"/>
      <x:c r="I24" s="30"/>
      <x:c r="J24" s="30"/>
      <x:c r="K24" s="30"/>
      <x:c r="L24" s="31"/>
      <x:c r="M24" s="30"/>
      <x:c r="N24" s="31" t="str">
        <x:v>Pendente</x:v>
      </x:c>
      <x:c r="O24" s="31"/>
    </x:row>
    <x:row r="25" ht="25" customHeight="1">
      <x:c r="A25" s="26" t="d">
        <x:v>2026-04-01T12:00:00.000Z</x:v>
      </x:c>
      <x:c r="B25" s="29" t="str">
        <x:v>Não consta no anexo</x:v>
      </x:c>
      <x:c r="C25" s="29"/>
      <x:c r="D25" s="29" t="str">
        <x:f>IF(AND(ISNUMBER(B25),ISNUMBER(C25)),ROUND(B25-C25,2),"Não disponível")</x:f>
        <x:v>Não disponível</x:v>
      </x:c>
      <x:c r="E25" s="30"/>
      <x:c r="F25" s="30"/>
      <x:c r="G25" s="30"/>
      <x:c r="H25" s="30"/>
      <x:c r="I25" s="30"/>
      <x:c r="J25" s="30"/>
      <x:c r="K25" s="30"/>
      <x:c r="L25" s="31"/>
      <x:c r="M25" s="30"/>
      <x:c r="N25" s="31" t="str">
        <x:v>Pendente</x:v>
      </x:c>
      <x:c r="O25" s="31"/>
    </x:row>
    <x:row r="26" ht="25" customHeight="1">
      <x:c r="A26" s="26" t="d">
        <x:v>2026-05-01T12:00:00.000Z</x:v>
      </x:c>
      <x:c r="B26" s="17" t="n">
        <x:f>'Fonte SEF'!C20</x:f>
        <x:v>260838.16</x:v>
      </x:c>
      <x:c r="C26" s="17" t="n">
        <x:f>'Fonte SEF'!H20</x:f>
        <x:v>210851.96</x:v>
      </x:c>
      <x:c r="D26" s="17" t="n">
        <x:f>IF(AND(ISNUMBER(B26),ISNUMBER(C26)),ROUND(B26-C26,2),"Não disponível")</x:f>
        <x:v>49986.2</x:v>
      </x:c>
      <x:c r="E26" s="30"/>
      <x:c r="F26" s="30"/>
      <x:c r="G26" s="30"/>
      <x:c r="H26" s="30"/>
      <x:c r="I26" s="30"/>
      <x:c r="J26" s="30"/>
      <x:c r="K26" s="30"/>
      <x:c r="L26" s="31"/>
      <x:c r="M26" s="30"/>
      <x:c r="N26" s="31" t="str">
        <x:v>Pendente</x:v>
      </x:c>
      <x:c r="O26" s="31"/>
    </x:row>
    <x:row r="27" ht="25" customHeight="1">
      <x:c r="A27" s="2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2"/>
      <x:c r="M27" s="2"/>
      <x:c r="N27" s="2"/>
      <x:c r="O27" s="2"/>
    </x:row>
    <x:row r="28" ht="25" customHeight="1">
      <x:c r="A28" s="32" t="str">
        <x:v>TOTAL DO ANEXO</x:v>
      </x:c>
      <x:c r="B28" s="33" t="n">
        <x:f>ROUND(SUM(B10:B26),2)</x:f>
        <x:v>31204899.67</x:v>
      </x:c>
      <x:c r="C28" s="33" t="n">
        <x:f>ROUND(SUM(C10:C26),2)</x:f>
        <x:v>15138595.93</x:v>
      </x:c>
      <x:c r="D28" s="33" t="n">
        <x:f>ROUND(SUM(D10:D26),2)</x:f>
        <x:v>16066303.74</x:v>
      </x:c>
      <x:c r="E28" s="17"/>
      <x:c r="F28" s="17"/>
      <x:c r="G28" s="17"/>
      <x:c r="H28" s="17"/>
      <x:c r="I28" s="17"/>
      <x:c r="J28" s="17"/>
      <x:c r="K28" s="17"/>
      <x:c r="L28" s="2"/>
      <x:c r="M28" s="2"/>
      <x:c r="N28" s="2"/>
      <x:c r="O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 ht="25" customHeight="1">
      <x:c r="A30" s="4" t="str">
        <x:v>Total fiscal cobre somente os 15 meses presentes no anexo. As outras duas competências permanecem sem valor fiscal disponível.</x:v>
      </x:c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 ht="25" customHeight="1">
      <x:c r="A31" s="4" t="str">
        <x:v>Duplicidade: comprovar a mesma operação com ID de venda e duas linhas financeiras. Não somar PIX ao agregado nem chamar todo repasse de nova venda.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 ht="25" customHeight="1">
      <x:c r="A32" s="4" t="str">
        <x:v>Juros: distinguir financiamento bancário de preço da venda a prazo e registrar a classificação jurídica. Segregar não significa deduzir.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 ht="25" customHeight="1">
      <x:c r="A33" s="4" t="str">
        <x:v>Cancelamentos: vincular evento, data, valor e prova. Em análise é informação pendente e não é dedução admissível por si.</x:v>
      </x:c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 ht="25" customHeight="1">
      <x:c r="A34" s="4" t="str">
        <x:v>Notas: I é informativo. J recebe somente ajuste comprovado sobre a base C, sem deduzir novamente notas já incluídas. Mudanças de mês devem ser pareadas.</x:v>
      </x:c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 ht="25" customHeight="1">
      <x:c r="A35" s="4" t="str">
        <x:v>Sem nota: K exige identificação em L e documentos em O. A diferença fiscal ou um saldo residual não comprova, sozinha, venda sem nota.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 ht="25" customHeight="1">
      <x:c r="A36" s="4" t="str">
        <x:v>M registra valores ainda não identificados após a conciliação documental. Não preencher zero enquanto existirem arquivos, operações ou critérios pendentes.</x:v>
      </x:c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 ht="25" customHeight="1">
      <x:c r="A37" s="4" t="str">
        <x:v>A situação é manual. Arquivo preparatório para investigação, ainda sem conciliação das operações e sem conclusão sobre imposto devido.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</x:sheetData>
  <x:conditionalFormatting sqref="N10:N26">
    <x:cfRule type="containsText" dxfId="0" priority="1" operator="containsText" text="Pendente"/>
    <x:cfRule type="containsText" dxfId="1" priority="2" operator="containsText" text="Em conferência"/>
  </x:conditionalFormatting>
  <x:dataValidations count="1">
    <x:dataValidation type="list" sqref="N10:N26">
      <x:formula1>"Pendente,Em conferência,Documentado para revisão"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.219999313354492" hidden="0" customWidth="1"/>
    <x:col min="2" max="2" width="12.220000267028809" hidden="0" customWidth="1"/>
    <x:col min="3" max="3" width="16.670000076293945" hidden="0" customWidth="1"/>
    <x:col min="4" max="4" width="17" hidden="0" customWidth="1"/>
    <x:col min="5" max="5" width="17" hidden="0" customWidth="1"/>
    <x:col min="6" max="6" width="20" hidden="0" customWidth="1"/>
    <x:col min="7" max="7" width="16.670000076293945" hidden="0" customWidth="1"/>
    <x:col min="8" max="8" width="16.670000076293945" hidden="0" customWidth="1"/>
    <x:col min="9" max="9" width="1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3" customHeight="1">
      <x:c r="A2" s="3" t="str">
        <x:v>PS COMPANY LTDA — fonte fiscal</x:v>
      </x:c>
      <x:c r="B2" s="2"/>
      <x:c r="C2" s="2"/>
      <x:c r="D2" s="2"/>
      <x:c r="E2" s="2"/>
      <x:c r="F2" s="2"/>
      <x:c r="G2" s="2"/>
      <x:c r="H2" s="2"/>
      <x:c r="I2" s="2"/>
    </x:row>
    <x:row r="3" ht="25" customHeight="1">
      <x:c r="A3" s="4" t="str">
        <x:v>Fonte: INTIMAÇÃO FISCAL SEFAZ-MG ICMS.pdf, página 3. Termo emitido em 31/08/2026.</x:v>
      </x:c>
      <x:c r="B3" s="2"/>
      <x:c r="C3" s="2"/>
      <x:c r="D3" s="2"/>
      <x:c r="E3" s="2"/>
      <x:c r="F3" s="2"/>
      <x:c r="G3" s="2"/>
      <x:c r="H3" s="2"/>
      <x:c r="I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46" customHeight="1">
      <x:c r="A5" s="13" t="str">
        <x:v>NM_CONTRIBUINTE</x:v>
      </x:c>
      <x:c r="B5" s="14" t="str">
        <x:v>NR_ANO_MES</x:v>
      </x:c>
      <x:c r="C5" s="14" t="str">
        <x:v>VENDAS_CARTAO</x:v>
      </x:c>
      <x:c r="D5" s="14" t="str">
        <x:v>VR_TOTAL_CREDITO</x:v>
      </x:c>
      <x:c r="E5" s="14" t="str">
        <x:v>VR_TOTAL_DEBITO</x:v>
      </x:c>
      <x:c r="F5" s="14" t="str">
        <x:v>TRANSFERENCIA_RECURSOS</x:v>
      </x:c>
      <x:c r="G5" s="14" t="str">
        <x:v>VR_TOTAL_PIX</x:v>
      </x:c>
      <x:c r="H5" s="14" t="str">
        <x:v>FATURAMENTO</x:v>
      </x:c>
      <x:c r="I5" s="15" t="str">
        <x:v>DIFERENCA</x:v>
      </x:c>
    </x:row>
    <x:row r="6" ht="25" customHeight="1">
      <x:c r="A6" s="2" t="str">
        <x:v>PS COMPANY LTDA</x:v>
      </x:c>
      <x:c r="B6" s="18" t="str">
        <x:v>202501</x:v>
      </x:c>
      <x:c r="C6" s="17" t="n">
        <x:v>990856.85</x:v>
      </x:c>
      <x:c r="D6" s="17" t="n">
        <x:v>440261.89</x:v>
      </x:c>
      <x:c r="E6" s="17"/>
      <x:c r="F6" s="17" t="n">
        <x:v>373982.46</x:v>
      </x:c>
      <x:c r="G6" s="17" t="n">
        <x:v>176612.5</x:v>
      </x:c>
      <x:c r="H6" s="17" t="n">
        <x:v>535309</x:v>
      </x:c>
      <x:c r="I6" s="17" t="n">
        <x:v>-455547.85</x:v>
      </x:c>
    </x:row>
    <x:row r="7" ht="25" customHeight="1">
      <x:c r="A7" s="2" t="str">
        <x:v>PS COMPANY LTDA</x:v>
      </x:c>
      <x:c r="B7" s="18" t="str">
        <x:v>202502</x:v>
      </x:c>
      <x:c r="C7" s="17" t="n">
        <x:v>1498424.57</x:v>
      </x:c>
      <x:c r="D7" s="17" t="n">
        <x:v>924931.48</x:v>
      </x:c>
      <x:c r="E7" s="17"/>
      <x:c r="F7" s="17" t="n">
        <x:v>220693</x:v>
      </x:c>
      <x:c r="G7" s="17" t="n">
        <x:v>352800.09</x:v>
      </x:c>
      <x:c r="H7" s="17" t="n">
        <x:v>817387.04</x:v>
      </x:c>
      <x:c r="I7" s="17" t="n">
        <x:v>-681037.53</x:v>
      </x:c>
    </x:row>
    <x:row r="8" ht="25" customHeight="1">
      <x:c r="A8" s="2" t="str">
        <x:v>PS COMPANY LTDA</x:v>
      </x:c>
      <x:c r="B8" s="18" t="str">
        <x:v>202503</x:v>
      </x:c>
      <x:c r="C8" s="17" t="n">
        <x:v>2023392.63</x:v>
      </x:c>
      <x:c r="D8" s="17" t="n">
        <x:v>1471869.78</x:v>
      </x:c>
      <x:c r="E8" s="17"/>
      <x:c r="F8" s="17" t="n">
        <x:v>100010</x:v>
      </x:c>
      <x:c r="G8" s="17" t="n">
        <x:v>451512.85</x:v>
      </x:c>
      <x:c r="H8" s="17" t="n">
        <x:v>630060.01</x:v>
      </x:c>
      <x:c r="I8" s="17" t="n">
        <x:v>-1393332.62</x:v>
      </x:c>
    </x:row>
    <x:row r="9" ht="25" customHeight="1">
      <x:c r="A9" s="2" t="str">
        <x:v>PS COMPANY LTDA</x:v>
      </x:c>
      <x:c r="B9" s="18" t="str">
        <x:v>202504</x:v>
      </x:c>
      <x:c r="C9" s="17" t="n">
        <x:v>2305315.32</x:v>
      </x:c>
      <x:c r="D9" s="17" t="n">
        <x:v>1795466.84</x:v>
      </x:c>
      <x:c r="E9" s="17"/>
      <x:c r="F9" s="17" t="n">
        <x:v>170010</x:v>
      </x:c>
      <x:c r="G9" s="17" t="n">
        <x:v>339838.48</x:v>
      </x:c>
      <x:c r="H9" s="17" t="n">
        <x:v>1122746.01</x:v>
      </x:c>
      <x:c r="I9" s="17" t="n">
        <x:v>-1182569.31</x:v>
      </x:c>
    </x:row>
    <x:row r="10" ht="25" customHeight="1">
      <x:c r="A10" s="2" t="str">
        <x:v>PS COMPANY LTDA</x:v>
      </x:c>
      <x:c r="B10" s="18" t="str">
        <x:v>202505</x:v>
      </x:c>
      <x:c r="C10" s="17" t="n">
        <x:v>2001897.62</x:v>
      </x:c>
      <x:c r="D10" s="17" t="n">
        <x:v>1698619.62</x:v>
      </x:c>
      <x:c r="E10" s="17"/>
      <x:c r="F10" s="17"/>
      <x:c r="G10" s="17" t="n">
        <x:v>303278</x:v>
      </x:c>
      <x:c r="H10" s="17" t="n">
        <x:v>1909707</x:v>
      </x:c>
      <x:c r="I10" s="17" t="n">
        <x:v>-92190.62</x:v>
      </x:c>
    </x:row>
    <x:row r="11" ht="25" customHeight="1">
      <x:c r="A11" s="2" t="str">
        <x:v>PS COMPANY LTDA</x:v>
      </x:c>
      <x:c r="B11" s="18" t="str">
        <x:v>202506</x:v>
      </x:c>
      <x:c r="C11" s="17" t="n">
        <x:v>3208837.69</x:v>
      </x:c>
      <x:c r="D11" s="17" t="n">
        <x:v>2842179.73</x:v>
      </x:c>
      <x:c r="E11" s="17"/>
      <x:c r="F11" s="17" t="n">
        <x:v>11641.75</x:v>
      </x:c>
      <x:c r="G11" s="17" t="n">
        <x:v>355016.21</x:v>
      </x:c>
      <x:c r="H11" s="17" t="n">
        <x:v>983986.08</x:v>
      </x:c>
      <x:c r="I11" s="17" t="n">
        <x:v>-2224851.61</x:v>
      </x:c>
    </x:row>
    <x:row r="12" ht="25" customHeight="1">
      <x:c r="A12" s="2" t="str">
        <x:v>PS COMPANY LTDA</x:v>
      </x:c>
      <x:c r="B12" s="18" t="str">
        <x:v>202507</x:v>
      </x:c>
      <x:c r="C12" s="17" t="n">
        <x:v>3000215.71</x:v>
      </x:c>
      <x:c r="D12" s="17" t="n">
        <x:v>2630627.91</x:v>
      </x:c>
      <x:c r="E12" s="17"/>
      <x:c r="F12" s="17" t="n">
        <x:v>14597.66</x:v>
      </x:c>
      <x:c r="G12" s="17" t="n">
        <x:v>354990.14</x:v>
      </x:c>
      <x:c r="H12" s="17" t="n">
        <x:v>1513579.53</x:v>
      </x:c>
      <x:c r="I12" s="17" t="n">
        <x:v>-1486636.18</x:v>
      </x:c>
    </x:row>
    <x:row r="13" ht="25" customHeight="1">
      <x:c r="A13" s="2" t="str">
        <x:v>PS COMPANY LTDA</x:v>
      </x:c>
      <x:c r="B13" s="18" t="str">
        <x:v>202508</x:v>
      </x:c>
      <x:c r="C13" s="17" t="n">
        <x:v>2591099.36</x:v>
      </x:c>
      <x:c r="D13" s="17" t="n">
        <x:v>2249582.3</x:v>
      </x:c>
      <x:c r="E13" s="17"/>
      <x:c r="F13" s="17" t="n">
        <x:v>14654.16</x:v>
      </x:c>
      <x:c r="G13" s="17" t="n">
        <x:v>326862.9</x:v>
      </x:c>
      <x:c r="H13" s="17" t="n">
        <x:v>1424728.04</x:v>
      </x:c>
      <x:c r="I13" s="17" t="n">
        <x:v>-1166371.32</x:v>
      </x:c>
    </x:row>
    <x:row r="14" ht="25" customHeight="1">
      <x:c r="A14" s="2" t="str">
        <x:v>PS COMPANY LTDA</x:v>
      </x:c>
      <x:c r="B14" s="18" t="str">
        <x:v>202509</x:v>
      </x:c>
      <x:c r="C14" s="17" t="n">
        <x:v>2857110.88</x:v>
      </x:c>
      <x:c r="D14" s="17" t="n">
        <x:v>2512741.49</x:v>
      </x:c>
      <x:c r="E14" s="17"/>
      <x:c r="F14" s="17" t="n">
        <x:v>1853.39</x:v>
      </x:c>
      <x:c r="G14" s="17" t="n">
        <x:v>342516</x:v>
      </x:c>
      <x:c r="H14" s="17" t="n">
        <x:v>1229265.02</x:v>
      </x:c>
      <x:c r="I14" s="17" t="n">
        <x:v>-1627845.86</x:v>
      </x:c>
    </x:row>
    <x:row r="15" ht="25" customHeight="1">
      <x:c r="A15" s="2" t="str">
        <x:v>PS COMPANY LTDA</x:v>
      </x:c>
      <x:c r="B15" s="18" t="str">
        <x:v>202511</x:v>
      </x:c>
      <x:c r="C15" s="17" t="n">
        <x:v>1618280.06</x:v>
      </x:c>
      <x:c r="D15" s="17" t="n">
        <x:v>1355372.15</x:v>
      </x:c>
      <x:c r="E15" s="17"/>
      <x:c r="F15" s="17" t="n">
        <x:v>1190.91</x:v>
      </x:c>
      <x:c r="G15" s="17" t="n">
        <x:v>261717</x:v>
      </x:c>
      <x:c r="H15" s="17" t="n">
        <x:v>1492592.64</x:v>
      </x:c>
      <x:c r="I15" s="17" t="n">
        <x:v>-125687.42</x:v>
      </x:c>
    </x:row>
    <x:row r="16" ht="25" customHeight="1">
      <x:c r="A16" s="2" t="str">
        <x:v>PS COMPANY LTDA</x:v>
      </x:c>
      <x:c r="B16" s="18" t="str">
        <x:v>202512</x:v>
      </x:c>
      <x:c r="C16" s="17" t="n">
        <x:v>2481210.99</x:v>
      </x:c>
      <x:c r="D16" s="17" t="n">
        <x:v>2205002.99</x:v>
      </x:c>
      <x:c r="E16" s="17"/>
      <x:c r="F16" s="17"/>
      <x:c r="G16" s="17" t="n">
        <x:v>276208</x:v>
      </x:c>
      <x:c r="H16" s="17" t="n">
        <x:v>1297706.8</x:v>
      </x:c>
      <x:c r="I16" s="17" t="n">
        <x:v>-1183504.19</x:v>
      </x:c>
    </x:row>
    <x:row r="17" ht="25" customHeight="1">
      <x:c r="A17" s="2" t="str">
        <x:v>PS COMPANY LTDA</x:v>
      </x:c>
      <x:c r="B17" s="18" t="str">
        <x:v>202601</x:v>
      </x:c>
      <x:c r="C17" s="17" t="n">
        <x:v>3020204.48</x:v>
      </x:c>
      <x:c r="D17" s="17" t="n">
        <x:v>2779971.48</x:v>
      </x:c>
      <x:c r="E17" s="17"/>
      <x:c r="F17" s="17"/>
      <x:c r="G17" s="17" t="n">
        <x:v>240233</x:v>
      </x:c>
      <x:c r="H17" s="17" t="n">
        <x:v>909741.92</x:v>
      </x:c>
      <x:c r="I17" s="17" t="n">
        <x:v>-2110462.56</x:v>
      </x:c>
    </x:row>
    <x:row r="18" ht="25" customHeight="1">
      <x:c r="A18" s="2" t="str">
        <x:v>PS COMPANY LTDA</x:v>
      </x:c>
      <x:c r="B18" s="18" t="str">
        <x:v>202602</x:v>
      </x:c>
      <x:c r="C18" s="17" t="n">
        <x:v>2235463.99</x:v>
      </x:c>
      <x:c r="D18" s="17" t="n">
        <x:v>2019381.99</x:v>
      </x:c>
      <x:c r="E18" s="17"/>
      <x:c r="F18" s="17"/>
      <x:c r="G18" s="17" t="n">
        <x:v>216082</x:v>
      </x:c>
      <x:c r="H18" s="17" t="n">
        <x:v>583718.92</x:v>
      </x:c>
      <x:c r="I18" s="17" t="n">
        <x:v>-1651745.07</x:v>
      </x:c>
    </x:row>
    <x:row r="19" ht="25" customHeight="1">
      <x:c r="A19" s="2" t="str">
        <x:v>PS COMPANY LTDA</x:v>
      </x:c>
      <x:c r="B19" s="18" t="str">
        <x:v>202603</x:v>
      </x:c>
      <x:c r="C19" s="17" t="n">
        <x:v>1111751.36</x:v>
      </x:c>
      <x:c r="D19" s="17" t="n">
        <x:v>952769.57</x:v>
      </x:c>
      <x:c r="E19" s="17"/>
      <x:c r="F19" s="17"/>
      <x:c r="G19" s="17" t="n">
        <x:v>158981.79</x:v>
      </x:c>
      <x:c r="H19" s="17" t="n">
        <x:v>477215.96</x:v>
      </x:c>
      <x:c r="I19" s="17" t="n">
        <x:v>-634535.4</x:v>
      </x:c>
    </x:row>
    <x:row r="20" ht="25" customHeight="1">
      <x:c r="A20" s="2" t="str">
        <x:v>PS COMPANY LTDA</x:v>
      </x:c>
      <x:c r="B20" s="18" t="str">
        <x:v>202605</x:v>
      </x:c>
      <x:c r="C20" s="17" t="n">
        <x:v>260838.16</x:v>
      </x:c>
      <x:c r="D20" s="17" t="n">
        <x:v>195998.08</x:v>
      </x:c>
      <x:c r="E20" s="17"/>
      <x:c r="F20" s="17"/>
      <x:c r="G20" s="17" t="n">
        <x:v>64840.08</x:v>
      </x:c>
      <x:c r="H20" s="17" t="n">
        <x:v>210851.96</x:v>
      </x:c>
      <x:c r="I20" s="17" t="n">
        <x:v>-49986.2</x:v>
      </x:c>
    </x:row>
    <x:row r="21" ht="25" customHeight="1">
      <x:c r="A21" s="2"/>
      <x:c r="B21" s="2"/>
      <x:c r="C21" s="17"/>
      <x:c r="D21" s="17"/>
      <x:c r="E21" s="17"/>
      <x:c r="F21" s="17"/>
      <x:c r="G21" s="17"/>
      <x:c r="H21" s="17" t="str">
        <x:v>TOTAL do PDF</x:v>
      </x:c>
      <x:c r="I21" s="17" t="n">
        <x:v>-16066303.74</x:v>
      </x:c>
    </x:row>
    <x:row r="22" ht="25" customHeight="1">
      <x:c r="A22" s="2"/>
      <x:c r="B22" s="2"/>
      <x:c r="C22" s="17"/>
      <x:c r="D22" s="17"/>
      <x:c r="E22" s="17"/>
      <x:c r="F22" s="17"/>
      <x:c r="G22" s="17"/>
      <x:c r="H22" s="17"/>
      <x:c r="I22" s="17"/>
    </x:row>
    <x:row r="23" ht="25" customHeight="1">
      <x:c r="A23" s="21" t="str">
        <x:v>Totais calculados</x:v>
      </x:c>
      <x:c r="B23" s="21"/>
      <x:c r="C23" s="22" t="n">
        <x:f>ROUND(SUM(C6:C20),2)</x:f>
        <x:v>31204899.67</x:v>
      </x:c>
      <x:c r="D23" s="22" t="n">
        <x:f>ROUND(SUM(D6:D20),2)</x:f>
        <x:v>26074777.3</x:v>
      </x:c>
      <x:c r="E23" s="22"/>
      <x:c r="F23" s="22" t="n">
        <x:f>ROUND(SUM(F6:F20),2)</x:f>
        <x:v>908633.33</x:v>
      </x:c>
      <x:c r="G23" s="22" t="n">
        <x:f>ROUND(SUM(G6:G20),2)</x:f>
        <x:v>4221489.04</x:v>
      </x:c>
      <x:c r="H23" s="22" t="n">
        <x:f>ROUND(SUM(H6:H20),2)</x:f>
        <x:v>15138595.93</x:v>
      </x:c>
      <x:c r="I23" s="22" t="n">
        <x:f>ROUND(SUM(I6:I20),2)</x:f>
        <x:v>-16066303.74</x:v>
      </x:c>
    </x:row>
    <x:row r="24" ht="25" customHeight="1">
      <x:c r="A24" s="2"/>
      <x:c r="B24" s="2"/>
      <x:c r="C24" s="2"/>
      <x:c r="D24" s="2"/>
      <x:c r="E24" s="2"/>
      <x:c r="F24" s="2"/>
      <x:c r="G24" s="2"/>
      <x:c r="H24" s="2"/>
      <x:c r="I24" s="2"/>
    </x:row>
    <x:row r="25" ht="25" customHeight="1">
      <x:c r="A25" s="4" t="str">
        <x:v>Vazios e diferença negativa do documento preservados. VENDAS_CARTAO já inclui crédito, transferências e PIX.</x:v>
      </x:c>
      <x:c r="B25" s="2"/>
      <x:c r="C25" s="2"/>
      <x:c r="D25" s="2"/>
      <x:c r="E25" s="2"/>
      <x:c r="F25" s="2"/>
      <x:c r="G25" s="2"/>
      <x:c r="H25" s="2"/>
      <x:c r="I25" s="2"/>
    </x:row>
    <x:row r="26" ht="25" customHeight="1">
      <x:c r="A26" s="4" t="str">
        <x:v>Outubro/2025 e abril/2026 não constam no anexo. Nenhuma conclusão sobre ausência de vendas decorre disso.</x:v>
      </x:c>
      <x:c r="B26" s="2"/>
      <x:c r="C26" s="2"/>
      <x:c r="D26" s="2"/>
      <x:c r="E26" s="2"/>
      <x:c r="F26" s="2"/>
      <x:c r="G26" s="2"/>
      <x:c r="H26" s="2"/>
      <x:c r="I26" s="2"/>
    </x:row>
  </x:sheetData>
  <x:pageMargins left="0.7" right="0.7" top="0.75" bottom="0.75" header="0.3" footer="0.3"/>
</x:worksheet>
</file>